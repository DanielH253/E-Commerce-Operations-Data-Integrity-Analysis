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D:\Data Analysis Classes\Excel class\Project 2\"/>
    </mc:Choice>
  </mc:AlternateContent>
  <xr:revisionPtr revIDLastSave="0" documentId="13_ncr:1_{011B4B27-4566-46C7-A026-D1EE6767FF51}" xr6:coauthVersionLast="47" xr6:coauthVersionMax="47" xr10:uidLastSave="{00000000-0000-0000-0000-000000000000}"/>
  <bookViews>
    <workbookView xWindow="-120" yWindow="-120" windowWidth="19440" windowHeight="11520" activeTab="2" xr2:uid="{00000000-000D-0000-FFFF-FFFF00000000}"/>
  </bookViews>
  <sheets>
    <sheet name="Dashboard" sheetId="2" r:id="rId1"/>
    <sheet name="Data" sheetId="3" r:id="rId2"/>
    <sheet name="Country Mapping" sheetId="1" r:id="rId3"/>
    <sheet name="Dynamic Folder Path" sheetId="4" state="hidden" r:id="rId4"/>
  </sheets>
  <definedNames>
    <definedName name="ExternalData_1" localSheetId="2" hidden="1">'Country Mapping'!$E$2:$E$14</definedName>
    <definedName name="fPath">'Dynamic Folder Path'!$B$4</definedName>
    <definedName name="Slicer_Actual_Status">#N/A</definedName>
    <definedName name="Slicer_Country">#N/A</definedName>
    <definedName name="Slicer_Month_Name">#N/A</definedName>
    <definedName name="Slicer_Product_Name">#N/A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 Orders Dataset_aa912b9b-fcee-42c0-842a-f24b480454f4" name="Cleaned Orders Dataset" connection="Query - Cleaned Orders 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a="1"/>
  <c r="B4" i="4" s="1"/>
  <c r="B2" i="4" a="1"/>
  <c r="B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5D5666-C316-4117-B347-757D3232D7EF}" name="Query - Cleaned Orders Dataset" description="Connection to the 'Cleaned Orders Dataset' query in the workbook." type="100" refreshedVersion="8" minRefreshableVersion="5">
    <extLst>
      <ext xmlns:x15="http://schemas.microsoft.com/office/spreadsheetml/2010/11/main" uri="{DE250136-89BD-433C-8126-D09CA5730AF9}">
        <x15:connection id="53c85abd-4a0f-4abc-97dc-326597c284cf"/>
      </ext>
    </extLst>
  </connection>
  <connection id="2" xr16:uid="{BA125946-1139-4BD4-9E36-0E4EF1CBB388}" keepAlive="1" name="Query - Country" description="Connection to the 'Country' query in the workbook." type="5" refreshedVersion="8" background="1" saveData="1">
    <dbPr connection="Provider=Microsoft.Mashup.OleDb.1;Data Source=$Workbook$;Location=Country;Extended Properties=&quot;&quot;" command="SELECT * FROM [Country]"/>
  </connection>
  <connection id="3" xr16:uid="{E8F1FACB-827A-4283-ACDE-56A991D253AB}" keepAlive="1" name="Query - Country Mapping" description="Connection to the 'Country Mapping' query in the workbook." type="5" refreshedVersion="0" background="1">
    <dbPr connection="Provider=Microsoft.Mashup.OleDb.1;Data Source=$Workbook$;Location=&quot;Country Mapping&quot;;Extended Properties=&quot;&quot;" command="SELECT * FROM [Country Mapping]"/>
  </connection>
  <connection id="4" xr16:uid="{EE481B74-24DE-4E09-8976-02F5EE1A1BD1}" keepAlive="1" name="Query - FolderSource" description="Connection to the 'FolderSource' query in the workbook." type="5" refreshedVersion="0" background="1">
    <dbPr connection="Provider=Microsoft.Mashup.OleDb.1;Data Source=$Workbook$;Location=FolderSource;Extended Properties=&quot;&quot;" command="SELECT * FROM [FolderSource]"/>
  </connection>
  <connection id="5" xr16:uid="{8E864DFE-5C08-42F5-B2DE-5DC0C49EA312}" keepAlive="1" name="Query - Merge11" description="Connection to the 'Merge1' query in the workbook." type="5" refreshedVersion="8" background="1" saveData="1">
    <dbPr connection="Provider=Microsoft.Mashup.OleDb.1;Data Source=$Workbook$;Location=Merge1;Extended Properties=&quot;&quot;" command="SELECT * FROM [Merge1]"/>
  </connection>
  <connection id="6" xr16:uid="{9F6685B4-0E62-4D42-B152-4410BB3BF399}" keepAlive="1" name="Query - Orders Export" description="Connection to the 'Orders Export' query in the workbook." type="5" refreshedVersion="0" background="1">
    <dbPr connection="Provider=Microsoft.Mashup.OleDb.1;Data Source=$Workbook$;Location=&quot;Orders Export&quot;;Extended Properties=&quot;&quot;" command="SELECT * FROM [Orders Export]"/>
  </connection>
  <connection id="7" xr16:uid="{ACF484DA-051B-4AFD-9260-A008478B6D2E}" keepAlive="1" name="Query - Refunds" description="Connection to the 'Refunds' query in the workbook." type="5" refreshedVersion="0" background="1">
    <dbPr connection="Provider=Microsoft.Mashup.OleDb.1;Data Source=$Workbook$;Location=Refunds;Extended Properties=&quot;&quot;" command="SELECT * FROM [Refunds]"/>
  </connection>
  <connection id="8" xr16:uid="{815EFF52-3137-4273-BE31-D713D98CF45B}" keepAlive="1" name="Query - Stripe Payments" description="Connection to the 'Stripe Payments' query in the workbook." type="5" refreshedVersion="0" background="1">
    <dbPr connection="Provider=Microsoft.Mashup.OleDb.1;Data Source=$Workbook$;Location=&quot;Stripe Payments&quot;;Extended Properties=&quot;&quot;" command="SELECT * FROM [Stripe Payments]"/>
  </connection>
  <connection id="9" xr16:uid="{1517C2A1-B6F8-49BD-A1B0-256DAE59D3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<sst xmlns="http://schemas.openxmlformats.org/spreadsheetml/2006/main" count="66" uniqueCount="33">
  <si>
    <t>Country</t>
  </si>
  <si>
    <t>UK</t>
  </si>
  <si>
    <t>U.S.</t>
  </si>
  <si>
    <t>United States</t>
  </si>
  <si>
    <t>united states</t>
  </si>
  <si>
    <t>Canada</t>
  </si>
  <si>
    <t>CAN</t>
  </si>
  <si>
    <t>United Kingdom</t>
  </si>
  <si>
    <t>US</t>
  </si>
  <si>
    <t>canada</t>
  </si>
  <si>
    <t>USA</t>
  </si>
  <si>
    <t>U.K.</t>
  </si>
  <si>
    <t>uk</t>
  </si>
  <si>
    <t>Raw Country</t>
  </si>
  <si>
    <t>Standardized Country</t>
  </si>
  <si>
    <t>Grand Total</t>
  </si>
  <si>
    <t>Average Payment Delay</t>
  </si>
  <si>
    <t>Total Gross Revenue</t>
  </si>
  <si>
    <t>Total Net Revenue</t>
  </si>
  <si>
    <t>Total Refund Amount</t>
  </si>
  <si>
    <t>Total Orders</t>
  </si>
  <si>
    <t>Refund Rate %</t>
  </si>
  <si>
    <t>Data Accuracy %</t>
  </si>
  <si>
    <t>Product Name</t>
  </si>
  <si>
    <t>Keyboard</t>
  </si>
  <si>
    <t>Laptop</t>
  </si>
  <si>
    <t>Monitor</t>
  </si>
  <si>
    <t>Mouse</t>
  </si>
  <si>
    <t>Refund Reason</t>
  </si>
  <si>
    <t>Customer Return</t>
  </si>
  <si>
    <t>Damaged</t>
  </si>
  <si>
    <t>Wrong Item</t>
  </si>
  <si>
    <t>E-Commerce Orders Analysis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</si>
</sst>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7" x14ac:knownFonts="1">
    <font>
      <sz val="11"/>
      <color theme="1"/>
      <name val="Calibri"/>
      <family val="2"/>
      <scheme val="minor"/>
    </font>
    <font>
      <b/>
      <sz val="11"/>
      <color theme="1"/>
      <name val="Calibri"/>
      <family val="2"/>
      <scheme val="minor"/>
    </font>
    <font>
      <sz val="14"/>
      <color theme="1"/>
      <name val="Calibri"/>
      <family val="2"/>
      <scheme val="minor"/>
    </font>
    <font>
      <sz val="36"/>
      <color theme="1"/>
      <name val="Calibri"/>
      <family val="2"/>
      <scheme val="minor"/>
    </font>
    <font>
      <sz val="28"/>
      <color theme="1"/>
      <name val="Calibri"/>
      <family val="2"/>
      <scheme val="minor"/>
    </font>
    <font>
      <sz val="48"/>
      <color theme="1"/>
      <name val="Calibri"/>
      <family val="2"/>
      <scheme val="minor"/>
    </font>
    <font>
      <b/>
      <sz val="90"/>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2">
    <xf numFmtId="0" fontId="0" fillId="0" borderId="0" xfId="0"/>
    <xf numFmtId="0" fontId="1" fillId="0" borderId="0" xfId="0" applyFont="1" applyAlignment="1">
      <alignment wrapText="1"/>
    </xf>
    <xf numFmtId="0" fontId="0" fillId="0" borderId="0" xfId="0" applyAlignment="1">
      <alignment wrapText="1"/>
    </xf>
    <xf numFmtId="4" fontId="0" fillId="0" borderId="0" xfId="0" applyNumberFormat="1"/>
    <xf numFmtId="0" fontId="0" fillId="2" borderId="0" xfId="0" applyFill="1"/>
    <xf numFmtId="0" fontId="0" fillId="4" borderId="0" xfId="0" applyFill="1"/>
    <xf numFmtId="0" fontId="2" fillId="0" borderId="0" xfId="0" applyFont="1"/>
    <xf numFmtId="164" fontId="2" fillId="0" borderId="0" xfId="0" applyNumberFormat="1" applyFont="1"/>
    <xf numFmtId="0" fontId="0" fillId="3" borderId="3" xfId="0" applyFill="1" applyBorder="1"/>
    <xf numFmtId="0" fontId="0" fillId="3" borderId="4" xfId="0" applyFill="1" applyBorder="1"/>
    <xf numFmtId="0" fontId="0" fillId="3" borderId="5" xfId="0" applyFill="1" applyBorder="1"/>
    <xf numFmtId="0" fontId="6" fillId="3" borderId="4" xfId="0" applyFont="1" applyFill="1" applyBorder="1"/>
    <xf numFmtId="0" fontId="0" fillId="5" borderId="0" xfId="0" applyFill="1"/>
    <xf numFmtId="0" fontId="4" fillId="5" borderId="2" xfId="0" applyFont="1" applyFill="1" applyBorder="1"/>
    <xf numFmtId="0" fontId="3" fillId="5" borderId="0" xfId="0" applyFont="1" applyFill="1"/>
    <xf numFmtId="0" fontId="4" fillId="5" borderId="1" xfId="0" applyFont="1" applyFill="1" applyBorder="1"/>
    <xf numFmtId="0" fontId="4" fillId="5" borderId="5" xfId="0" applyFont="1" applyFill="1" applyBorder="1"/>
    <xf numFmtId="4" fontId="5" fillId="5" borderId="1" xfId="0" applyNumberFormat="1" applyFont="1" applyFill="1" applyBorder="1"/>
    <xf numFmtId="4" fontId="5" fillId="5" borderId="5" xfId="0" applyNumberFormat="1" applyFont="1" applyFill="1" applyBorder="1"/>
    <xf numFmtId="164" fontId="5" fillId="5" borderId="5" xfId="0" applyNumberFormat="1" applyFont="1" applyFill="1" applyBorder="1"/>
    <xf numFmtId="2" fontId="5" fillId="5" borderId="1" xfId="0" applyNumberFormat="1" applyFont="1" applyFill="1" applyBorder="1"/>
    <xf numFmtId="0" fontId="5" fillId="5" borderId="5" xfId="0" applyFont="1" applyFill="1" applyBorder="1"/>
  </cellXfs>
  <cellStyles count="1">
    <cellStyle name="Normal" xfId="0" builtinId="0"/>
  </cellStyles>
  <dxfs count="70">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patternType="solid">
          <bgColor theme="3" tint="0.59999389629810485"/>
        </patternFill>
      </fill>
    </dxf>
    <dxf>
      <font>
        <sz val="14"/>
      </font>
    </dxf>
    <dxf>
      <font>
        <sz val="14"/>
      </font>
    </dxf>
    <dxf>
      <font>
        <sz val="14"/>
      </font>
    </dxf>
    <dxf>
      <fill>
        <patternFill patternType="solid">
          <bgColor theme="4" tint="0.79998168889431442"/>
        </patternFill>
      </fill>
    </dxf>
    <dxf>
      <fill>
        <patternFill patternType="solid">
          <bgColor theme="4" tint="0.79998168889431442"/>
        </patternFill>
      </fill>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sz val="28"/>
      </font>
    </dxf>
    <dxf>
      <fill>
        <patternFill>
          <bgColor theme="9" tint="0.59999389629810485"/>
        </patternFill>
      </fill>
    </dxf>
    <dxf>
      <fill>
        <patternFill>
          <bgColor theme="9" tint="0.59999389629810485"/>
        </patternFill>
      </fill>
    </dxf>
    <dxf>
      <fill>
        <patternFill>
          <bgColor theme="9" tint="0.59999389629810485"/>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ont>
        <sz val="48"/>
      </font>
    </dxf>
    <dxf>
      <font>
        <sz val="28"/>
      </font>
    </dxf>
    <dxf>
      <fill>
        <patternFill>
          <bgColor theme="0"/>
        </patternFill>
      </fill>
    </dxf>
    <dxf>
      <fill>
        <patternFill>
          <bgColor theme="0"/>
        </patternFill>
      </fill>
    </dxf>
    <dxf>
      <fill>
        <patternFill>
          <bgColor theme="0"/>
        </patternFill>
      </fill>
    </dxf>
    <dxf>
      <font>
        <sz val="24"/>
      </font>
    </dxf>
    <dxf>
      <font>
        <sz val="24"/>
      </font>
    </dxf>
    <dxf>
      <font>
        <sz val="24"/>
      </font>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patternFill>
      </fill>
    </dxf>
    <dxf>
      <fill>
        <patternFill patternType="solid">
          <bgColor theme="2"/>
        </patternFill>
      </fill>
    </dxf>
    <dxf>
      <fill>
        <patternFill patternType="solid">
          <bgColor theme="2"/>
        </patternFill>
      </fill>
    </dxf>
    <dxf>
      <font>
        <sz val="12"/>
      </font>
    </dxf>
    <dxf>
      <font>
        <sz val="12"/>
      </font>
    </dxf>
    <dxf>
      <font>
        <sz val="12"/>
      </font>
    </dxf>
    <dxf>
      <font>
        <sz val="28"/>
      </font>
    </dxf>
    <dxf>
      <font>
        <sz val="28"/>
      </font>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bgColor theme="9" tint="0.59999389629810485"/>
        </patternFill>
      </fill>
    </dxf>
    <dxf>
      <fill>
        <patternFill>
          <bgColor theme="9" tint="0.59999389629810485"/>
        </patternFill>
      </fill>
    </dxf>
    <dxf>
      <fill>
        <patternFill>
          <bgColor theme="9" tint="0.59999389629810485"/>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ont>
        <sz val="48"/>
      </font>
    </dxf>
    <dxf>
      <font>
        <sz val="28"/>
      </font>
    </dxf>
    <dxf>
      <font>
        <sz val="36"/>
      </font>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patternFill>
      </fill>
    </dxf>
    <dxf>
      <fill>
        <patternFill patternType="solid">
          <bgColor theme="2"/>
        </patternFill>
      </fill>
    </dxf>
    <dxf>
      <fill>
        <patternFill patternType="solid">
          <bgColor theme="2"/>
        </patternFill>
      </fill>
    </dxf>
    <dxf>
      <font>
        <sz val="12"/>
      </font>
    </dxf>
    <dxf>
      <font>
        <sz val="12"/>
      </font>
    </dxf>
    <dxf>
      <font>
        <sz val="12"/>
      </font>
    </dxf>
    <dxf>
      <font>
        <b/>
        <color theme="1"/>
      </font>
      <border>
        <bottom style="thin">
          <color theme="4"/>
        </bottom>
        <vertical/>
        <horizontal/>
      </border>
    </dxf>
    <dxf>
      <font>
        <sz val="24"/>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PivotTable Style 1" table="0" count="0" xr9:uid="{DFE2C698-B3BD-4292-AC01-FB1001F6CF0A}"/>
    <tableStyle name="SlicerStyleLight1 2" pivot="0" table="0" count="10" xr9:uid="{5DED1E0F-88CA-412C-A1F9-7DCCE3480CF6}">
      <tableStyleElement type="wholeTable" dxfId="69"/>
      <tableStyleElement type="headerRow" dxfId="6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000" b="0" i="0" u="none" strike="noStrike" kern="1200" spc="0" baseline="0">
                <a:solidFill>
                  <a:schemeClr val="tx1">
                    <a:lumMod val="65000"/>
                    <a:lumOff val="35000"/>
                  </a:schemeClr>
                </a:solidFill>
                <a:latin typeface="+mn-lt"/>
                <a:ea typeface="+mn-ea"/>
                <a:cs typeface="+mn-cs"/>
              </a:defRPr>
            </a:pPr>
            <a:r>
              <a:rPr lang="en-US" sz="3000" b="1" baseline="0"/>
              <a:t>Revenue Trends</a:t>
            </a:r>
          </a:p>
        </c:rich>
      </c:tx>
      <c:overlay val="0"/>
      <c:spPr>
        <a:noFill/>
        <a:ln>
          <a:noFill/>
        </a:ln>
        <a:effectLst/>
      </c:spPr>
      <c:txPr>
        <a:bodyPr rot="0" spcFirstLastPara="1" vertOverflow="ellipsis" vert="horz" wrap="square" anchor="ctr" anchorCtr="1"/>
        <a:lstStyle/>
        <a:p>
          <a:pPr>
            <a:defRPr sz="3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 Gross Revenue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0"/>
              <c:pt idx="0">
                <c:v>2024-01</c:v>
              </c:pt>
              <c:pt idx="1">
                <c:v>2024-02</c:v>
              </c:pt>
              <c:pt idx="2">
                <c:v>2024-03</c:v>
              </c:pt>
              <c:pt idx="3">
                <c:v>2024-04</c:v>
              </c:pt>
              <c:pt idx="4">
                <c:v>2024-05</c:v>
              </c:pt>
              <c:pt idx="5">
                <c:v>2024-06</c:v>
              </c:pt>
              <c:pt idx="6">
                <c:v>2024-07</c:v>
              </c:pt>
              <c:pt idx="7">
                <c:v>2024-08</c:v>
              </c:pt>
              <c:pt idx="8">
                <c:v>2024-09</c:v>
              </c:pt>
              <c:pt idx="9">
                <c:v>2024-10</c:v>
              </c:pt>
            </c:strLit>
          </c:cat>
          <c:val>
            <c:numLit>
              <c:formatCode>General</c:formatCode>
              <c:ptCount val="10"/>
              <c:pt idx="0">
                <c:v>21580.449999999997</c:v>
              </c:pt>
              <c:pt idx="1">
                <c:v>23044.069999999996</c:v>
              </c:pt>
              <c:pt idx="2">
                <c:v>21798.53</c:v>
              </c:pt>
              <c:pt idx="3">
                <c:v>22736.859999999997</c:v>
              </c:pt>
              <c:pt idx="4">
                <c:v>19682.279999999992</c:v>
              </c:pt>
              <c:pt idx="5">
                <c:v>21224.11</c:v>
              </c:pt>
              <c:pt idx="6">
                <c:v>18371.66</c:v>
              </c:pt>
              <c:pt idx="7">
                <c:v>27223.709999999985</c:v>
              </c:pt>
              <c:pt idx="8">
                <c:v>20728.859999999997</c:v>
              </c:pt>
              <c:pt idx="9">
                <c:v>21218.830000000005</c:v>
              </c:pt>
            </c:numLit>
          </c:val>
          <c:smooth val="0"/>
          <c:extLst>
            <c:ext xmlns:c16="http://schemas.microsoft.com/office/drawing/2014/chart" uri="{C3380CC4-5D6E-409C-BE32-E72D297353CC}">
              <c16:uniqueId val="{00000000-BFBE-4D63-9EC4-600F469B1E90}"/>
            </c:ext>
          </c:extLst>
        </c:ser>
        <c:ser>
          <c:idx val="1"/>
          <c:order val="1"/>
          <c:tx>
            <c:v>Total Net Revenue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2024-01</c:v>
              </c:pt>
              <c:pt idx="1">
                <c:v>2024-02</c:v>
              </c:pt>
              <c:pt idx="2">
                <c:v>2024-03</c:v>
              </c:pt>
              <c:pt idx="3">
                <c:v>2024-04</c:v>
              </c:pt>
              <c:pt idx="4">
                <c:v>2024-05</c:v>
              </c:pt>
              <c:pt idx="5">
                <c:v>2024-06</c:v>
              </c:pt>
              <c:pt idx="6">
                <c:v>2024-07</c:v>
              </c:pt>
              <c:pt idx="7">
                <c:v>2024-08</c:v>
              </c:pt>
              <c:pt idx="8">
                <c:v>2024-09</c:v>
              </c:pt>
              <c:pt idx="9">
                <c:v>2024-10</c:v>
              </c:pt>
            </c:strLit>
          </c:cat>
          <c:val>
            <c:numLit>
              <c:formatCode>General</c:formatCode>
              <c:ptCount val="10"/>
              <c:pt idx="0">
                <c:v>10730.179999999998</c:v>
              </c:pt>
              <c:pt idx="1">
                <c:v>11512.6</c:v>
              </c:pt>
              <c:pt idx="2">
                <c:v>10546.270000000002</c:v>
              </c:pt>
              <c:pt idx="3">
                <c:v>10378.929999999995</c:v>
              </c:pt>
              <c:pt idx="4">
                <c:v>11189.369999999999</c:v>
              </c:pt>
              <c:pt idx="5">
                <c:v>10236.560000000003</c:v>
              </c:pt>
              <c:pt idx="6">
                <c:v>9608.68</c:v>
              </c:pt>
              <c:pt idx="7">
                <c:v>11399.299999999996</c:v>
              </c:pt>
              <c:pt idx="8">
                <c:v>11265.269999999995</c:v>
              </c:pt>
              <c:pt idx="9">
                <c:v>9887.69</c:v>
              </c:pt>
            </c:numLit>
          </c:val>
          <c:smooth val="0"/>
          <c:extLst>
            <c:ext xmlns:c16="http://schemas.microsoft.com/office/drawing/2014/chart" uri="{C3380CC4-5D6E-409C-BE32-E72D297353CC}">
              <c16:uniqueId val="{00000001-BFBE-4D63-9EC4-600F469B1E90}"/>
            </c:ext>
          </c:extLst>
        </c:ser>
        <c:ser>
          <c:idx val="2"/>
          <c:order val="2"/>
          <c:tx>
            <c:v>Total Refund Amount</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0"/>
              <c:pt idx="0">
                <c:v>2024-01</c:v>
              </c:pt>
              <c:pt idx="1">
                <c:v>2024-02</c:v>
              </c:pt>
              <c:pt idx="2">
                <c:v>2024-03</c:v>
              </c:pt>
              <c:pt idx="3">
                <c:v>2024-04</c:v>
              </c:pt>
              <c:pt idx="4">
                <c:v>2024-05</c:v>
              </c:pt>
              <c:pt idx="5">
                <c:v>2024-06</c:v>
              </c:pt>
              <c:pt idx="6">
                <c:v>2024-07</c:v>
              </c:pt>
              <c:pt idx="7">
                <c:v>2024-08</c:v>
              </c:pt>
              <c:pt idx="8">
                <c:v>2024-09</c:v>
              </c:pt>
              <c:pt idx="9">
                <c:v>2024-10</c:v>
              </c:pt>
            </c:strLit>
          </c:cat>
          <c:val>
            <c:numLit>
              <c:formatCode>General</c:formatCode>
              <c:ptCount val="10"/>
              <c:pt idx="0">
                <c:v>345.40000000000003</c:v>
              </c:pt>
              <c:pt idx="1">
                <c:v>208.82000000000002</c:v>
              </c:pt>
              <c:pt idx="2">
                <c:v>434.59999999999997</c:v>
              </c:pt>
              <c:pt idx="3">
                <c:v>607.91</c:v>
              </c:pt>
              <c:pt idx="4">
                <c:v>373.53</c:v>
              </c:pt>
              <c:pt idx="5">
                <c:v>338.12</c:v>
              </c:pt>
              <c:pt idx="6">
                <c:v>587.15</c:v>
              </c:pt>
              <c:pt idx="7">
                <c:v>888.25999999999988</c:v>
              </c:pt>
              <c:pt idx="8">
                <c:v>538.55999999999995</c:v>
              </c:pt>
              <c:pt idx="9">
                <c:v>763.92000000000007</c:v>
              </c:pt>
            </c:numLit>
          </c:val>
          <c:smooth val="0"/>
          <c:extLst>
            <c:ext xmlns:c16="http://schemas.microsoft.com/office/drawing/2014/chart" uri="{C3380CC4-5D6E-409C-BE32-E72D297353CC}">
              <c16:uniqueId val="{00000002-BFBE-4D63-9EC4-600F469B1E90}"/>
            </c:ext>
          </c:extLst>
        </c:ser>
        <c:dLbls>
          <c:showLegendKey val="0"/>
          <c:showVal val="0"/>
          <c:showCatName val="0"/>
          <c:showSerName val="0"/>
          <c:showPercent val="0"/>
          <c:showBubbleSize val="0"/>
        </c:dLbls>
        <c:marker val="1"/>
        <c:smooth val="0"/>
        <c:axId val="2018067936"/>
        <c:axId val="1045064256"/>
      </c:lineChart>
      <c:catAx>
        <c:axId val="201806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045064256"/>
        <c:crosses val="autoZero"/>
        <c:auto val="1"/>
        <c:lblAlgn val="ctr"/>
        <c:lblOffset val="100"/>
        <c:noMultiLvlLbl val="0"/>
      </c:catAx>
      <c:valAx>
        <c:axId val="104506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2018067936"/>
        <c:crosses val="autoZero"/>
        <c:crossBetween val="between"/>
      </c:valAx>
      <c:spPr>
        <a:noFill/>
        <a:ln>
          <a:noFill/>
        </a:ln>
        <a:effectLst/>
      </c:spPr>
    </c:plotArea>
    <c:legend>
      <c:legendPos val="r"/>
      <c:layout>
        <c:manualLayout>
          <c:xMode val="edge"/>
          <c:yMode val="edge"/>
          <c:x val="0.80399402220696514"/>
          <c:y val="0.26691626452258022"/>
          <c:w val="0.18632711189986603"/>
          <c:h val="0.66483022998294239"/>
        </c:manualLayout>
      </c:layout>
      <c:overlay val="0"/>
      <c:spPr>
        <a:noFill/>
        <a:ln>
          <a:noFill/>
        </a:ln>
        <a:effectLst/>
      </c:spPr>
      <c:txPr>
        <a:bodyPr rot="0" spcFirstLastPara="1" vertOverflow="ellipsis" vert="horz" wrap="square" anchor="ctr" anchorCtr="1"/>
        <a:lstStyle/>
        <a:p>
          <a:pPr>
            <a:defRPr sz="2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Operations &amp; Data Integrity Analysis (2024).xlsx]Data!Product Revenue</c:name>
    <c:fmtId val="3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baseline="0"/>
              <a:t>Revenue by Product</a:t>
            </a:r>
          </a:p>
        </c:rich>
      </c:tx>
      <c:layout>
        <c:manualLayout>
          <c:xMode val="edge"/>
          <c:yMode val="edge"/>
          <c:x val="0.34144020790296953"/>
          <c:y val="4.8613889438412126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Data!$C$15</c:f>
              <c:strCache>
                <c:ptCount val="1"/>
                <c:pt idx="0">
                  <c:v>Total</c:v>
                </c:pt>
              </c:strCache>
            </c:strRef>
          </c:tx>
          <c:spPr>
            <a:solidFill>
              <a:schemeClr val="accent1"/>
            </a:solidFill>
            <a:ln>
              <a:noFill/>
            </a:ln>
            <a:effectLst/>
          </c:spPr>
          <c:invertIfNegative val="0"/>
          <c:cat>
            <c:strRef>
              <c:f>Data!$B$16:$B$20</c:f>
              <c:strCache>
                <c:ptCount val="4"/>
                <c:pt idx="0">
                  <c:v>Monitor</c:v>
                </c:pt>
                <c:pt idx="1">
                  <c:v>Mouse</c:v>
                </c:pt>
                <c:pt idx="2">
                  <c:v>Laptop</c:v>
                </c:pt>
                <c:pt idx="3">
                  <c:v>Keyboard</c:v>
                </c:pt>
              </c:strCache>
            </c:strRef>
          </c:cat>
          <c:val>
            <c:numRef>
              <c:f>Data!$C$16:$C$20</c:f>
              <c:numCache>
                <c:formatCode>#,##0.00</c:formatCode>
                <c:ptCount val="4"/>
                <c:pt idx="0">
                  <c:v>27529.459999999992</c:v>
                </c:pt>
                <c:pt idx="1">
                  <c:v>26676.06</c:v>
                </c:pt>
                <c:pt idx="2">
                  <c:v>26313.910000000022</c:v>
                </c:pt>
                <c:pt idx="3">
                  <c:v>26235.419999999995</c:v>
                </c:pt>
              </c:numCache>
            </c:numRef>
          </c:val>
          <c:extLst>
            <c:ext xmlns:c16="http://schemas.microsoft.com/office/drawing/2014/chart" uri="{C3380CC4-5D6E-409C-BE32-E72D297353CC}">
              <c16:uniqueId val="{00000000-5E1A-4694-9DD9-83B34EBDB942}"/>
            </c:ext>
          </c:extLst>
        </c:ser>
        <c:dLbls>
          <c:showLegendKey val="0"/>
          <c:showVal val="0"/>
          <c:showCatName val="0"/>
          <c:showSerName val="0"/>
          <c:showPercent val="0"/>
          <c:showBubbleSize val="0"/>
        </c:dLbls>
        <c:gapWidth val="182"/>
        <c:axId val="1354134640"/>
        <c:axId val="1354134160"/>
      </c:barChart>
      <c:catAx>
        <c:axId val="135413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354134160"/>
        <c:crosses val="autoZero"/>
        <c:auto val="1"/>
        <c:lblAlgn val="ctr"/>
        <c:lblOffset val="100"/>
        <c:noMultiLvlLbl val="0"/>
      </c:catAx>
      <c:valAx>
        <c:axId val="13541341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35413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Operations &amp; Data Integrity Analysis (2024).xlsx]Data!Revenue by Country</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baseline="0"/>
              <a:t>Revenue by Country</a:t>
            </a:r>
          </a:p>
        </c:rich>
      </c:tx>
      <c:layout>
        <c:manualLayout>
          <c:xMode val="edge"/>
          <c:yMode val="edge"/>
          <c:x val="0.33762074170311829"/>
          <c:y val="5.8102346664480276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Data!$F$15</c:f>
              <c:strCache>
                <c:ptCount val="1"/>
                <c:pt idx="0">
                  <c:v>Total</c:v>
                </c:pt>
              </c:strCache>
            </c:strRef>
          </c:tx>
          <c:spPr>
            <a:solidFill>
              <a:schemeClr val="accent1"/>
            </a:solidFill>
            <a:ln>
              <a:noFill/>
            </a:ln>
            <a:effectLst/>
          </c:spPr>
          <c:invertIfNegative val="0"/>
          <c:cat>
            <c:strRef>
              <c:f>Data!$E$16:$E$19</c:f>
              <c:strCache>
                <c:ptCount val="3"/>
                <c:pt idx="0">
                  <c:v>United States</c:v>
                </c:pt>
                <c:pt idx="1">
                  <c:v>United Kingdom</c:v>
                </c:pt>
                <c:pt idx="2">
                  <c:v>Canada</c:v>
                </c:pt>
              </c:strCache>
            </c:strRef>
          </c:cat>
          <c:val>
            <c:numRef>
              <c:f>Data!$F$16:$F$19</c:f>
              <c:numCache>
                <c:formatCode>#,##0.00</c:formatCode>
                <c:ptCount val="3"/>
                <c:pt idx="0">
                  <c:v>46348.700000000019</c:v>
                </c:pt>
                <c:pt idx="1">
                  <c:v>35881.799999999996</c:v>
                </c:pt>
                <c:pt idx="2">
                  <c:v>24524.350000000006</c:v>
                </c:pt>
              </c:numCache>
            </c:numRef>
          </c:val>
          <c:extLst>
            <c:ext xmlns:c16="http://schemas.microsoft.com/office/drawing/2014/chart" uri="{C3380CC4-5D6E-409C-BE32-E72D297353CC}">
              <c16:uniqueId val="{00000000-D511-4359-8670-15AD94E85D86}"/>
            </c:ext>
          </c:extLst>
        </c:ser>
        <c:dLbls>
          <c:showLegendKey val="0"/>
          <c:showVal val="0"/>
          <c:showCatName val="0"/>
          <c:showSerName val="0"/>
          <c:showPercent val="0"/>
          <c:showBubbleSize val="0"/>
        </c:dLbls>
        <c:gapWidth val="182"/>
        <c:axId val="153841807"/>
        <c:axId val="153833647"/>
      </c:barChart>
      <c:catAx>
        <c:axId val="15384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53833647"/>
        <c:crosses val="autoZero"/>
        <c:auto val="1"/>
        <c:lblAlgn val="ctr"/>
        <c:lblOffset val="100"/>
        <c:noMultiLvlLbl val="0"/>
      </c:catAx>
      <c:valAx>
        <c:axId val="153833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5384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Operations &amp; Data Integrity Analysis (2024).xlsx]Data!Refund Report</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baseline="0"/>
              <a:t>Reasons for Refunds</a:t>
            </a:r>
          </a:p>
        </c:rich>
      </c:tx>
      <c:layout>
        <c:manualLayout>
          <c:xMode val="edge"/>
          <c:yMode val="edge"/>
          <c:x val="0.3496898552476092"/>
          <c:y val="4.8675802936999475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Data!$I$15</c:f>
              <c:strCache>
                <c:ptCount val="1"/>
                <c:pt idx="0">
                  <c:v>Total</c:v>
                </c:pt>
              </c:strCache>
            </c:strRef>
          </c:tx>
          <c:spPr>
            <a:solidFill>
              <a:schemeClr val="accent1"/>
            </a:solidFill>
            <a:ln>
              <a:noFill/>
            </a:ln>
            <a:effectLst/>
          </c:spPr>
          <c:invertIfNegative val="0"/>
          <c:cat>
            <c:strRef>
              <c:f>Data!$H$16:$H$19</c:f>
              <c:strCache>
                <c:ptCount val="3"/>
                <c:pt idx="0">
                  <c:v>Damaged</c:v>
                </c:pt>
                <c:pt idx="1">
                  <c:v>Wrong Item</c:v>
                </c:pt>
                <c:pt idx="2">
                  <c:v>Customer Return</c:v>
                </c:pt>
              </c:strCache>
            </c:strRef>
          </c:cat>
          <c:val>
            <c:numRef>
              <c:f>Data!$I$16:$I$19</c:f>
              <c:numCache>
                <c:formatCode>#,##0.00</c:formatCode>
                <c:ptCount val="3"/>
                <c:pt idx="0">
                  <c:v>2304.7999999999997</c:v>
                </c:pt>
                <c:pt idx="1">
                  <c:v>1572.77</c:v>
                </c:pt>
                <c:pt idx="2">
                  <c:v>1208.7</c:v>
                </c:pt>
              </c:numCache>
            </c:numRef>
          </c:val>
          <c:extLst>
            <c:ext xmlns:c16="http://schemas.microsoft.com/office/drawing/2014/chart" uri="{C3380CC4-5D6E-409C-BE32-E72D297353CC}">
              <c16:uniqueId val="{00000001-D98B-43C7-80A7-A1AED3E925B5}"/>
            </c:ext>
          </c:extLst>
        </c:ser>
        <c:dLbls>
          <c:showLegendKey val="0"/>
          <c:showVal val="0"/>
          <c:showCatName val="0"/>
          <c:showSerName val="0"/>
          <c:showPercent val="0"/>
          <c:showBubbleSize val="0"/>
        </c:dLbls>
        <c:gapWidth val="219"/>
        <c:overlap val="-27"/>
        <c:axId val="70157887"/>
        <c:axId val="70160287"/>
      </c:barChart>
      <c:catAx>
        <c:axId val="7015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70160287"/>
        <c:crosses val="autoZero"/>
        <c:auto val="1"/>
        <c:lblAlgn val="ctr"/>
        <c:lblOffset val="100"/>
        <c:noMultiLvlLbl val="0"/>
      </c:catAx>
      <c:valAx>
        <c:axId val="70160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7015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1854868</xdr:colOff>
      <xdr:row>5</xdr:row>
      <xdr:rowOff>39100</xdr:rowOff>
    </xdr:from>
    <xdr:to>
      <xdr:col>6</xdr:col>
      <xdr:colOff>2671647</xdr:colOff>
      <xdr:row>26</xdr:row>
      <xdr:rowOff>46463</xdr:rowOff>
    </xdr:to>
    <xdr:graphicFrame macro="">
      <xdr:nvGraphicFramePr>
        <xdr:cNvPr id="3" name="Revenue Trend">
          <a:extLst>
            <a:ext uri="{FF2B5EF4-FFF2-40B4-BE49-F238E27FC236}">
              <a16:creationId xmlns:a16="http://schemas.microsoft.com/office/drawing/2014/main" id="{35B73FA9-2B0C-6B60-E3BB-D8A463FA5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743683</xdr:colOff>
      <xdr:row>5</xdr:row>
      <xdr:rowOff>19394</xdr:rowOff>
    </xdr:from>
    <xdr:to>
      <xdr:col>10</xdr:col>
      <xdr:colOff>592979</xdr:colOff>
      <xdr:row>26</xdr:row>
      <xdr:rowOff>139391</xdr:rowOff>
    </xdr:to>
    <mc:AlternateContent xmlns:mc="http://schemas.openxmlformats.org/markup-compatibility/2006" xmlns:a14="http://schemas.microsoft.com/office/drawing/2010/main">
      <mc:Choice Requires="a14">
        <xdr:graphicFrame macro="">
          <xdr:nvGraphicFramePr>
            <xdr:cNvPr id="5" name="Month Name">
              <a:extLst>
                <a:ext uri="{FF2B5EF4-FFF2-40B4-BE49-F238E27FC236}">
                  <a16:creationId xmlns:a16="http://schemas.microsoft.com/office/drawing/2014/main" id="{E40CF7CE-45F0-CD87-EA2E-C71007346C8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0815878" y="3295065"/>
              <a:ext cx="3450211" cy="4022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622701</xdr:colOff>
      <xdr:row>8</xdr:row>
      <xdr:rowOff>146041</xdr:rowOff>
    </xdr:from>
    <xdr:to>
      <xdr:col>10</xdr:col>
      <xdr:colOff>3430426</xdr:colOff>
      <xdr:row>20</xdr:row>
      <xdr:rowOff>62980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19C06ADB-CDE4-ECB4-A429-3C6299FF2FC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4295811" y="3979273"/>
              <a:ext cx="2807725" cy="2147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153562</xdr:colOff>
      <xdr:row>15</xdr:row>
      <xdr:rowOff>91417</xdr:rowOff>
    </xdr:from>
    <xdr:to>
      <xdr:col>9</xdr:col>
      <xdr:colOff>716389</xdr:colOff>
      <xdr:row>26</xdr:row>
      <xdr:rowOff>133756</xdr:rowOff>
    </xdr:to>
    <mc:AlternateContent xmlns:mc="http://schemas.openxmlformats.org/markup-compatibility/2006" xmlns:a14="http://schemas.microsoft.com/office/drawing/2010/main">
      <mc:Choice Requires="a14">
        <xdr:graphicFrame macro="">
          <xdr:nvGraphicFramePr>
            <xdr:cNvPr id="7" name="Product Name">
              <a:extLst>
                <a:ext uri="{FF2B5EF4-FFF2-40B4-BE49-F238E27FC236}">
                  <a16:creationId xmlns:a16="http://schemas.microsoft.com/office/drawing/2014/main" id="{C90807F7-187E-9A86-EFE5-D7FF95F906B7}"/>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7530879" y="5225624"/>
              <a:ext cx="3257705" cy="2086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57615</xdr:colOff>
      <xdr:row>5</xdr:row>
      <xdr:rowOff>23231</xdr:rowOff>
    </xdr:from>
    <xdr:to>
      <xdr:col>9</xdr:col>
      <xdr:colOff>731379</xdr:colOff>
      <xdr:row>14</xdr:row>
      <xdr:rowOff>137390</xdr:rowOff>
    </xdr:to>
    <mc:AlternateContent xmlns:mc="http://schemas.openxmlformats.org/markup-compatibility/2006" xmlns:a14="http://schemas.microsoft.com/office/drawing/2010/main">
      <mc:Choice Requires="a14">
        <xdr:graphicFrame macro="">
          <xdr:nvGraphicFramePr>
            <xdr:cNvPr id="8" name="Actual Status">
              <a:extLst>
                <a:ext uri="{FF2B5EF4-FFF2-40B4-BE49-F238E27FC236}">
                  <a16:creationId xmlns:a16="http://schemas.microsoft.com/office/drawing/2014/main" id="{3907920A-B555-6A14-FEE6-D43961DB9E0B}"/>
                </a:ext>
              </a:extLst>
            </xdr:cNvPr>
            <xdr:cNvGraphicFramePr/>
          </xdr:nvGraphicFramePr>
          <xdr:xfrm>
            <a:off x="0" y="0"/>
            <a:ext cx="0" cy="0"/>
          </xdr:xfrm>
          <a:graphic>
            <a:graphicData uri="http://schemas.microsoft.com/office/drawing/2010/slicer">
              <sle:slicer xmlns:sle="http://schemas.microsoft.com/office/drawing/2010/slicer" name="Actual Status"/>
            </a:graphicData>
          </a:graphic>
        </xdr:graphicFrame>
      </mc:Choice>
      <mc:Fallback xmlns="">
        <xdr:sp macro="" textlink="">
          <xdr:nvSpPr>
            <xdr:cNvPr id="0" name=""/>
            <xdr:cNvSpPr>
              <a:spLocks noTextEdit="1"/>
            </xdr:cNvSpPr>
          </xdr:nvSpPr>
          <xdr:spPr>
            <a:xfrm>
              <a:off x="17434932" y="3298902"/>
              <a:ext cx="3368642" cy="1786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1838950</xdr:colOff>
      <xdr:row>27</xdr:row>
      <xdr:rowOff>-1</xdr:rowOff>
    </xdr:from>
    <xdr:to>
      <xdr:col>5</xdr:col>
      <xdr:colOff>673720</xdr:colOff>
      <xdr:row>45</xdr:row>
      <xdr:rowOff>46463</xdr:rowOff>
    </xdr:to>
    <xdr:graphicFrame macro="">
      <xdr:nvGraphicFramePr>
        <xdr:cNvPr id="9" name="Chart 8">
          <a:extLst>
            <a:ext uri="{FF2B5EF4-FFF2-40B4-BE49-F238E27FC236}">
              <a16:creationId xmlns:a16="http://schemas.microsoft.com/office/drawing/2014/main" id="{AEA90BCB-7FD2-FA1C-FB38-A22DD3177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766646</xdr:colOff>
      <xdr:row>27</xdr:row>
      <xdr:rowOff>23232</xdr:rowOff>
    </xdr:from>
    <xdr:to>
      <xdr:col>7</xdr:col>
      <xdr:colOff>2114085</xdr:colOff>
      <xdr:row>45</xdr:row>
      <xdr:rowOff>92927</xdr:rowOff>
    </xdr:to>
    <xdr:graphicFrame macro="">
      <xdr:nvGraphicFramePr>
        <xdr:cNvPr id="10" name="Chart 9">
          <a:extLst>
            <a:ext uri="{FF2B5EF4-FFF2-40B4-BE49-F238E27FC236}">
              <a16:creationId xmlns:a16="http://schemas.microsoft.com/office/drawing/2014/main" id="{A8B1D793-2C57-6D81-8E9E-A0D1D7444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2183781</xdr:colOff>
      <xdr:row>27</xdr:row>
      <xdr:rowOff>23231</xdr:rowOff>
    </xdr:from>
    <xdr:to>
      <xdr:col>10</xdr:col>
      <xdr:colOff>3252439</xdr:colOff>
      <xdr:row>45</xdr:row>
      <xdr:rowOff>69695</xdr:rowOff>
    </xdr:to>
    <xdr:graphicFrame macro="">
      <xdr:nvGraphicFramePr>
        <xdr:cNvPr id="11" name="Chart 10">
          <a:extLst>
            <a:ext uri="{FF2B5EF4-FFF2-40B4-BE49-F238E27FC236}">
              <a16:creationId xmlns:a16="http://schemas.microsoft.com/office/drawing/2014/main" id="{7AC2E62A-086C-A2A9-731A-0BE2F2BEF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209550</xdr:colOff>
      <xdr:row>0</xdr:row>
      <xdr:rowOff>123825</xdr:rowOff>
    </xdr:from>
    <xdr:to>
      <xdr:col>5</xdr:col>
      <xdr:colOff>600075</xdr:colOff>
      <xdr:row>6</xdr:row>
      <xdr:rowOff>180975</xdr:rowOff>
    </xdr:to>
    <mc:AlternateContent xmlns:mc="http://schemas.openxmlformats.org/markup-compatibility/2006" xmlns:a14="http://schemas.microsoft.com/office/drawing/2010/main">
      <mc:Choice Requires="a14">
        <xdr:graphicFrame macro="">
          <xdr:nvGraphicFramePr>
            <xdr:cNvPr id="2" name="Actual Status 1">
              <a:extLst>
                <a:ext uri="{FF2B5EF4-FFF2-40B4-BE49-F238E27FC236}">
                  <a16:creationId xmlns:a16="http://schemas.microsoft.com/office/drawing/2014/main" id="{B54DA218-B4B4-47C9-A6F1-0EF1B41011B2}"/>
                </a:ext>
              </a:extLst>
            </xdr:cNvPr>
            <xdr:cNvGraphicFramePr/>
          </xdr:nvGraphicFramePr>
          <xdr:xfrm>
            <a:off x="0" y="0"/>
            <a:ext cx="0" cy="0"/>
          </xdr:xfrm>
          <a:graphic>
            <a:graphicData uri="http://schemas.microsoft.com/office/drawing/2010/slicer">
              <sle:slicer xmlns:sle="http://schemas.microsoft.com/office/drawing/2010/slicer" name="Actual Status 1"/>
            </a:graphicData>
          </a:graphic>
        </xdr:graphicFrame>
      </mc:Choice>
      <mc:Fallback xmlns="">
        <xdr:sp macro="" textlink="">
          <xdr:nvSpPr>
            <xdr:cNvPr id="0" name=""/>
            <xdr:cNvSpPr>
              <a:spLocks noTextEdit="1"/>
            </xdr:cNvSpPr>
          </xdr:nvSpPr>
          <xdr:spPr>
            <a:xfrm>
              <a:off x="3067050" y="123825"/>
              <a:ext cx="2028825"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0</xdr:row>
      <xdr:rowOff>142875</xdr:rowOff>
    </xdr:from>
    <xdr:to>
      <xdr:col>2</xdr:col>
      <xdr:colOff>1144906</xdr:colOff>
      <xdr:row>12</xdr:row>
      <xdr:rowOff>95250</xdr:rowOff>
    </xdr:to>
    <mc:AlternateContent xmlns:mc="http://schemas.openxmlformats.org/markup-compatibility/2006" xmlns:a14="http://schemas.microsoft.com/office/drawing/2010/main">
      <mc:Choice Requires="a14">
        <xdr:graphicFrame macro="">
          <xdr:nvGraphicFramePr>
            <xdr:cNvPr id="3" name="Month Name 1">
              <a:extLst>
                <a:ext uri="{FF2B5EF4-FFF2-40B4-BE49-F238E27FC236}">
                  <a16:creationId xmlns:a16="http://schemas.microsoft.com/office/drawing/2014/main" id="{23B68F93-FF35-476B-BC16-EC9A7E34224D}"/>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609600" y="142875"/>
              <a:ext cx="2211706"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676275</xdr:colOff>
      <xdr:row>0</xdr:row>
      <xdr:rowOff>66675</xdr:rowOff>
    </xdr:from>
    <xdr:to>
      <xdr:col>7</xdr:col>
      <xdr:colOff>337185</xdr:colOff>
      <xdr:row>8</xdr:row>
      <xdr:rowOff>85725</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DE2A281E-B5FA-4EDB-B4F3-3B5BF90B18E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172075" y="66675"/>
              <a:ext cx="145161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200025</xdr:colOff>
      <xdr:row>7</xdr:row>
      <xdr:rowOff>76200</xdr:rowOff>
    </xdr:from>
    <xdr:to>
      <xdr:col>5</xdr:col>
      <xdr:colOff>617221</xdr:colOff>
      <xdr:row>13</xdr:row>
      <xdr:rowOff>38100</xdr:rowOff>
    </xdr:to>
    <mc:AlternateContent xmlns:mc="http://schemas.openxmlformats.org/markup-compatibility/2006" xmlns:a14="http://schemas.microsoft.com/office/drawing/2010/main">
      <mc:Choice Requires="a14">
        <xdr:graphicFrame macro="">
          <xdr:nvGraphicFramePr>
            <xdr:cNvPr id="5" name="Product Name 1">
              <a:extLst>
                <a:ext uri="{FF2B5EF4-FFF2-40B4-BE49-F238E27FC236}">
                  <a16:creationId xmlns:a16="http://schemas.microsoft.com/office/drawing/2014/main" id="{573B733E-899B-4792-A6B3-98EB76A2A060}"/>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3057525" y="1409700"/>
              <a:ext cx="2055496"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584171296294" backgroundQuery="1" createdVersion="8" refreshedVersion="8" minRefreshableVersion="3" recordCount="0" supportSubquery="1" supportAdvancedDrill="1" xr:uid="{0EE57C9F-CF69-4F09-A684-6A83B8C9D19E}">
  <cacheSource type="external" connectionId="9"/>
  <cacheFields count="6">
    <cacheField name="[Cleaned Orders Dataset].[Refund Reason].[Refund Reason]" caption="Refund Reason" numFmtId="0" hierarchy="11" level="1">
      <sharedItems count="3">
        <s v="Customer Return"/>
        <s v="Damaged"/>
        <s v="Wrong Item"/>
      </sharedItems>
    </cacheField>
    <cacheField name="[Measures].[Total Refund Amount]" caption="Total Refund Amount" numFmtId="0" hierarchy="25" level="32767"/>
    <cacheField name="[Cleaned Orders Dataset].[Country].[Country]" caption="Country" numFmtId="0" hierarchy="1" level="1">
      <sharedItems containsSemiMixedTypes="0" containsNonDate="0" containsString="0"/>
    </cacheField>
    <cacheField name="[Cleaned Orders Dataset].[Product Name].[Product Name]" caption="Product Name" numFmtId="0" hierarchy="2" level="1">
      <sharedItems containsSemiMixedTypes="0" containsNonDate="0" containsString="0"/>
    </cacheField>
    <cacheField name="[Cleaned Orders Dataset].[Actual Status].[Actual Status]" caption="Actual Status" numFmtId="0" hierarchy="10" level="1">
      <sharedItems containsSemiMixedTypes="0" containsNonDate="0" containsString="0"/>
    </cacheField>
    <cacheField name="[Cleaned Orders Dataset].[Month Name].[Month Name]" caption="Month Name" numFmtId="0" hierarchy="3" level="1">
      <sharedItems containsSemiMixedTypes="0" containsNonDate="0" containsString="0"/>
    </cacheField>
  </cacheFields>
  <cacheHierarchies count="35">
    <cacheHierarchy uniqueName="[Cleaned Orders Dataset].[Customer Name]" caption="Customer Name" attribute="1" defaultMemberUniqueName="[Cleaned Orders Dataset].[Customer Name].[All]" allUniqueName="[Cleaned Orders Dataset].[Customer Name].[All]" dimensionUniqueName="[Cleaned Orders Dataset]" displayFolder="" count="0" memberValueDatatype="130" unbalanced="0"/>
    <cacheHierarchy uniqueName="[Cleaned Orders Dataset].[Country]" caption="Country" attribute="1" defaultMemberUniqueName="[Cleaned Orders Dataset].[Country].[All]" allUniqueName="[Cleaned Orders Dataset].[Country].[All]" dimensionUniqueName="[Cleaned Orders Dataset]" displayFolder="" count="2" memberValueDatatype="130" unbalanced="0">
      <fieldsUsage count="2">
        <fieldUsage x="-1"/>
        <fieldUsage x="2"/>
      </fieldsUsage>
    </cacheHierarchy>
    <cacheHierarchy uniqueName="[Cleaned Orders Dataset].[Product Name]" caption="Product Name" attribute="1" defaultMemberUniqueName="[Cleaned Orders Dataset].[Product Name].[All]" allUniqueName="[Cleaned Orders Dataset].[Product Name].[All]" dimensionUniqueName="[Cleaned Orders Dataset]" displayFolder="" count="2" memberValueDatatype="130" unbalanced="0">
      <fieldsUsage count="2">
        <fieldUsage x="-1"/>
        <fieldUsage x="3"/>
      </fieldsUsage>
    </cacheHierarchy>
    <cacheHierarchy uniqueName="[Cleaned Orders Dataset].[Month Name]" caption="Month Name" attribute="1" defaultMemberUniqueName="[Cleaned Orders Dataset].[Month Name].[All]" allUniqueName="[Cleaned Orders Dataset].[Month Name].[All]" dimensionUniqueName="[Cleaned Orders Dataset]" displayFolder="" count="2" memberValueDatatype="130" unbalanced="0">
      <fieldsUsage count="2">
        <fieldUsage x="-1"/>
        <fieldUsage x="5"/>
      </fieldsUsage>
    </cacheHierarchy>
    <cacheHierarchy uniqueName="[Cleaned Orders Dataset].[Month]" caption="Month" attribute="1" defaultMemberUniqueName="[Cleaned Orders Dataset].[Month].[All]" allUniqueName="[Cleaned Orders Dataset].[Month].[All]" dimensionUniqueName="[Cleaned Orders Dataset]" displayFolder="" count="0" memberValueDatatype="20" unbalanced="0"/>
    <cacheHierarchy uniqueName="[Cleaned Orders Dataset].[Gross Revenue]" caption="Gross Revenue" attribute="1" defaultMemberUniqueName="[Cleaned Orders Dataset].[Gross Revenue].[All]" allUniqueName="[Cleaned Orders Dataset].[Gross Revenue].[All]" dimensionUniqueName="[Cleaned Orders Dataset]" displayFolder="" count="0" memberValueDatatype="5" unbalanced="0"/>
    <cacheHierarchy uniqueName="[Cleaned Orders Dataset].[Amount Paid]" caption="Amount Paid" attribute="1" defaultMemberUniqueName="[Cleaned Orders Dataset].[Amount Paid].[All]" allUniqueName="[Cleaned Orders Dataset].[Amount Paid].[All]" dimensionUniqueName="[Cleaned Orders Dataset]" displayFolder="" count="0" memberValueDatatype="5" unbalanced="0"/>
    <cacheHierarchy uniqueName="[Cleaned Orders Dataset].[Refund Amount]" caption="Refund Amount" attribute="1" defaultMemberUniqueName="[Cleaned Orders Dataset].[Refund Amount].[All]" allUniqueName="[Cleaned Orders Dataset].[Refund Amount].[All]" dimensionUniqueName="[Cleaned Orders Dataset]" displayFolder="" count="0" memberValueDatatype="5" unbalanced="0"/>
    <cacheHierarchy uniqueName="[Cleaned Orders Dataset].[Net Revenue]" caption="Net Revenue" attribute="1" defaultMemberUniqueName="[Cleaned Orders Dataset].[Net Revenue].[All]" allUniqueName="[Cleaned Orders Dataset].[Net Revenue].[All]" dimensionUniqueName="[Cleaned Orders Dataset]" displayFolder="" count="0" memberValueDatatype="5" unbalanced="0"/>
    <cacheHierarchy uniqueName="[Cleaned Orders Dataset].[Payment Delay (Days)]" caption="Payment Delay (Days)" attribute="1" defaultMemberUniqueName="[Cleaned Orders Dataset].[Payment Delay (Days)].[All]" allUniqueName="[Cleaned Orders Dataset].[Payment Delay (Days)].[All]" dimensionUniqueName="[Cleaned Orders Dataset]" displayFolder="" count="0" memberValueDatatype="20" unbalanced="0"/>
    <cacheHierarchy uniqueName="[Cleaned Orders Dataset].[Actual Status]" caption="Actual Status" attribute="1" defaultMemberUniqueName="[Cleaned Orders Dataset].[Actual Status].[All]" allUniqueName="[Cleaned Orders Dataset].[Actual Status].[All]" dimensionUniqueName="[Cleaned Orders Dataset]" displayFolder="" count="2" memberValueDatatype="130" unbalanced="0">
      <fieldsUsage count="2">
        <fieldUsage x="-1"/>
        <fieldUsage x="4"/>
      </fieldsUsage>
    </cacheHierarchy>
    <cacheHierarchy uniqueName="[Cleaned Orders Dataset].[Refund Reason]" caption="Refund Reason" attribute="1" defaultMemberUniqueName="[Cleaned Orders Dataset].[Refund Reason].[All]" allUniqueName="[Cleaned Orders Dataset].[Refund Reason].[All]" dimensionUniqueName="[Cleaned Orders Dataset]" displayFolder="" count="2" memberValueDatatype="130" unbalanced="0">
      <fieldsUsage count="2">
        <fieldUsage x="-1"/>
        <fieldUsage x="0"/>
      </fieldsUsage>
    </cacheHierarchy>
    <cacheHierarchy uniqueName="[Cleaned Orders Dataset].[Overdue Range]" caption="Overdue Range" attribute="1" defaultMemberUniqueName="[Cleaned Orders Dataset].[Overdue Range].[All]" allUniqueName="[Cleaned Orders Dataset].[Overdue Range].[All]" dimensionUniqueName="[Cleaned Orders Dataset]" displayFolder="" count="0" memberValueDatatype="130" unbalanced="0"/>
    <cacheHierarchy uniqueName="[Cleaned Orders Dataset].[Email]" caption="Email" attribute="1" defaultMemberUniqueName="[Cleaned Orders Dataset].[Email].[All]" allUniqueName="[Cleaned Orders Dataset].[Email].[All]" dimensionUniqueName="[Cleaned Orders Dataset]" displayFolder="" count="0" memberValueDatatype="130" unbalanced="0" hidden="1"/>
    <cacheHierarchy uniqueName="[Cleaned Orders Dataset].[Order Date]" caption="Order Date" attribute="1" time="1" defaultMemberUniqueName="[Cleaned Orders Dataset].[Order Date].[All]" allUniqueName="[Cleaned Orders Dataset].[Order Date].[All]" dimensionUniqueName="[Cleaned Orders Dataset]" displayFolder="" count="0" memberValueDatatype="7" unbalanced="0" hidden="1"/>
    <cacheHierarchy uniqueName="[Cleaned Orders Dataset].[Order ID]" caption="Order ID" attribute="1" defaultMemberUniqueName="[Cleaned Orders Dataset].[Order ID].[All]" allUniqueName="[Cleaned Orders Dataset].[Order ID].[All]" dimensionUniqueName="[Cleaned Orders Dataset]" displayFolder="" count="0" memberValueDatatype="130" unbalanced="0" hidden="1"/>
    <cacheHierarchy uniqueName="[Cleaned Orders Dataset].[Payment Date]" caption="Payment Date" attribute="1" time="1" defaultMemberUniqueName="[Cleaned Orders Dataset].[Payment Date].[All]" allUniqueName="[Cleaned Orders Dataset].[Payment Date].[All]" dimensionUniqueName="[Cleaned Orders Dataset]" displayFolder="" count="0" memberValueDatatype="7" unbalanced="0" hidden="1"/>
    <cacheHierarchy uniqueName="[Cleaned Orders Dataset].[Price]" caption="Price" attribute="1" defaultMemberUniqueName="[Cleaned Orders Dataset].[Price].[All]" allUniqueName="[Cleaned Orders Dataset].[Price].[All]" dimensionUniqueName="[Cleaned Orders Dataset]" displayFolder="" count="0" memberValueDatatype="5" unbalanced="0" hidden="1"/>
    <cacheHierarchy uniqueName="[Cleaned Orders Dataset].[Quantity]" caption="Quantity" attribute="1" defaultMemberUniqueName="[Cleaned Orders Dataset].[Quantity].[All]" allUniqueName="[Cleaned Orders Dataset].[Quantity].[All]" dimensionUniqueName="[Cleaned Orders Dataset]" displayFolder="" count="0" memberValueDatatype="20" unbalanced="0" hidden="1"/>
    <cacheHierarchy uniqueName="[Cleaned Orders Dataset].[Reported Status]" caption="Reported Status" attribute="1" defaultMemberUniqueName="[Cleaned Orders Dataset].[Reported Status].[All]" allUniqueName="[Cleaned Orders Dataset].[Reported Status].[All]" dimensionUniqueName="[Cleaned Orders Dataset]" displayFolder="" count="0" memberValueDatatype="130" unbalanced="0" hidden="1"/>
    <cacheHierarchy uniqueName="[Cleaned Orders Dataset].[Shipping Date]" caption="Shipping Date" attribute="1" time="1" defaultMemberUniqueName="[Cleaned Orders Dataset].[Shipping Date].[All]" allUniqueName="[Cleaned Orders Dataset].[Shipping Date].[All]" dimensionUniqueName="[Cleaned Orders Dataset]" displayFolder="" count="0" memberValueDatatype="7" unbalanced="0" hidden="1"/>
    <cacheHierarchy uniqueName="[Cleaned Orders Dataset].[Year]" caption="Year" attribute="1" defaultMemberUniqueName="[Cleaned Orders Dataset].[Year].[All]" allUniqueName="[Cleaned Orders Dataset].[Year].[All]" dimensionUniqueName="[Cleaned Orders Dataset]" displayFolder="" count="0" memberValueDatatype="20" unbalanced="0" hidden="1"/>
    <cacheHierarchy uniqueName="[Cleaned Orders Dataset].[Year-Month]" caption="Year-Month" attribute="1" defaultMemberUniqueName="[Cleaned Orders Dataset].[Year-Month].[All]" allUniqueName="[Cleaned Orders Dataset].[Year-Month].[All]" dimensionUniqueName="[Cleaned Orders Dataset]" displayFolder="" count="0" memberValueDatatype="130" unbalanced="0" hidden="1"/>
    <cacheHierarchy uniqueName="[Measures].[Total Gross Revenue]" caption="Total Gross Revenue" measure="1" displayFolder="" measureGroup="Cleaned Orders Dataset" count="0"/>
    <cacheHierarchy uniqueName="[Measures].[Total Net Revenue]" caption="Total Net Revenue" measure="1" displayFolder="" measureGroup="Cleaned Orders Dataset" count="0"/>
    <cacheHierarchy uniqueName="[Measures].[Total Refund Amount]" caption="Total Refund Amount" measure="1" displayFolder="" measureGroup="Cleaned Orders Dataset" count="0" oneField="1">
      <fieldsUsage count="1">
        <fieldUsage x="1"/>
      </fieldsUsage>
    </cacheHierarchy>
    <cacheHierarchy uniqueName="[Measures].[Total Orders]" caption="Total Orders" measure="1" displayFolder="" measureGroup="Cleaned Orders Dataset" count="0"/>
    <cacheHierarchy uniqueName="[Measures].[Refund Rate %]" caption="Refund Rate %" measure="1" displayFolder="" measureGroup="Cleaned Orders Dataset" count="0"/>
    <cacheHierarchy uniqueName="[Measures].[Data Accuracy %]" caption="Data Accuracy %" measure="1" displayFolder="" measureGroup="Cleaned Orders Dataset" count="0"/>
    <cacheHierarchy uniqueName="[Measures].[Average Payment Delay]" caption="Average Payment Delay" measure="1" displayFolder="" measureGroup="Cleaned Orders Dataset" count="0"/>
    <cacheHierarchy uniqueName="[Measures].[__XL_Count Cleaned Orders Dataset]" caption="__XL_Count Cleaned Orders Dataset" measure="1" displayFolder="" measureGroup="Cleaned Orders Dataset" count="0" hidden="1"/>
    <cacheHierarchy uniqueName="[Measures].[__No measures defined]" caption="__No measures defined" measure="1" displayFolder="" count="0" hidden="1"/>
    <cacheHierarchy uniqueName="[Measures].[Sum of Gross Revenue]" caption="Sum of Gross Revenue" measure="1" displayFolder="" measureGroup="Cleaned Orders Datase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ed Orders Dataset" count="0" hidden="1">
      <extLst>
        <ext xmlns:x15="http://schemas.microsoft.com/office/spreadsheetml/2010/11/main" uri="{B97F6D7D-B522-45F9-BDA1-12C45D357490}">
          <x15:cacheHierarchy aggregatedColumn="17"/>
        </ext>
      </extLst>
    </cacheHierarchy>
    <cacheHierarchy uniqueName="[Measures].[Sum of Net Revenue]" caption="Sum of Net Revenue" measure="1" displayFolder="" measureGroup="Cleaned Orders Dataset" count="0" hidden="1">
      <extLst>
        <ext xmlns:x15="http://schemas.microsoft.com/office/spreadsheetml/2010/11/main" uri="{B97F6D7D-B522-45F9-BDA1-12C45D357490}">
          <x15:cacheHierarchy aggregatedColumn="8"/>
        </ext>
      </extLst>
    </cacheHierarchy>
  </cacheHierarchies>
  <kpis count="0"/>
  <dimensions count="2">
    <dimension name="Cleaned Orders Dataset" uniqueName="[Cleaned Orders Dataset]" caption="Cleaned Orders Dataset"/>
    <dimension measure="1" name="Measures" uniqueName="[Measures]" caption="Measures"/>
  </dimensions>
  <measureGroups count="1">
    <measureGroup name="Cleaned Orders Dataset" caption="Cleaned Orders 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584172685187" backgroundQuery="1" createdVersion="8" refreshedVersion="8" minRefreshableVersion="3" recordCount="0" supportSubquery="1" supportAdvancedDrill="1" xr:uid="{F9FA1EDA-CC4A-43D9-BE78-7704D3B61EAC}">
  <cacheSource type="external" connectionId="9"/>
  <cacheFields count="5">
    <cacheField name="[Cleaned Orders Dataset].[Country].[Country]" caption="Country" numFmtId="0" hierarchy="1" level="1">
      <sharedItems count="3">
        <s v="Canada"/>
        <s v="United Kingdom"/>
        <s v="United States"/>
      </sharedItems>
    </cacheField>
    <cacheField name="[Measures].[Total Net Revenue]" caption="Total Net Revenue" numFmtId="0" hierarchy="24" level="32767"/>
    <cacheField name="[Cleaned Orders Dataset].[Actual Status].[Actual Status]" caption="Actual Status" numFmtId="0" hierarchy="10" level="1">
      <sharedItems containsSemiMixedTypes="0" containsNonDate="0" containsString="0"/>
    </cacheField>
    <cacheField name="[Cleaned Orders Dataset].[Product Name].[Product Name]" caption="Product Name" numFmtId="0" hierarchy="2" level="1">
      <sharedItems containsSemiMixedTypes="0" containsNonDate="0" containsString="0"/>
    </cacheField>
    <cacheField name="[Cleaned Orders Dataset].[Month Name].[Month Name]" caption="Month Name" numFmtId="0" hierarchy="3" level="1">
      <sharedItems containsSemiMixedTypes="0" containsNonDate="0" containsString="0"/>
    </cacheField>
  </cacheFields>
  <cacheHierarchies count="35">
    <cacheHierarchy uniqueName="[Cleaned Orders Dataset].[Customer Name]" caption="Customer Name" attribute="1" defaultMemberUniqueName="[Cleaned Orders Dataset].[Customer Name].[All]" allUniqueName="[Cleaned Orders Dataset].[Customer Name].[All]" dimensionUniqueName="[Cleaned Orders Dataset]" displayFolder="" count="0" memberValueDatatype="130" unbalanced="0"/>
    <cacheHierarchy uniqueName="[Cleaned Orders Dataset].[Country]" caption="Country" attribute="1" defaultMemberUniqueName="[Cleaned Orders Dataset].[Country].[All]" allUniqueName="[Cleaned Orders Dataset].[Country].[All]" dimensionUniqueName="[Cleaned Orders Dataset]" displayFolder="" count="2" memberValueDatatype="130" unbalanced="0">
      <fieldsUsage count="2">
        <fieldUsage x="-1"/>
        <fieldUsage x="0"/>
      </fieldsUsage>
    </cacheHierarchy>
    <cacheHierarchy uniqueName="[Cleaned Orders Dataset].[Product Name]" caption="Product Name" attribute="1" defaultMemberUniqueName="[Cleaned Orders Dataset].[Product Name].[All]" allUniqueName="[Cleaned Orders Dataset].[Product Name].[All]" dimensionUniqueName="[Cleaned Orders Dataset]" displayFolder="" count="2" memberValueDatatype="130" unbalanced="0">
      <fieldsUsage count="2">
        <fieldUsage x="-1"/>
        <fieldUsage x="3"/>
      </fieldsUsage>
    </cacheHierarchy>
    <cacheHierarchy uniqueName="[Cleaned Orders Dataset].[Month Name]" caption="Month Name" attribute="1" defaultMemberUniqueName="[Cleaned Orders Dataset].[Month Name].[All]" allUniqueName="[Cleaned Orders Dataset].[Month Name].[All]" dimensionUniqueName="[Cleaned Orders Dataset]" displayFolder="" count="2" memberValueDatatype="130" unbalanced="0">
      <fieldsUsage count="2">
        <fieldUsage x="-1"/>
        <fieldUsage x="4"/>
      </fieldsUsage>
    </cacheHierarchy>
    <cacheHierarchy uniqueName="[Cleaned Orders Dataset].[Month]" caption="Month" attribute="1" defaultMemberUniqueName="[Cleaned Orders Dataset].[Month].[All]" allUniqueName="[Cleaned Orders Dataset].[Month].[All]" dimensionUniqueName="[Cleaned Orders Dataset]" displayFolder="" count="0" memberValueDatatype="20" unbalanced="0"/>
    <cacheHierarchy uniqueName="[Cleaned Orders Dataset].[Gross Revenue]" caption="Gross Revenue" attribute="1" defaultMemberUniqueName="[Cleaned Orders Dataset].[Gross Revenue].[All]" allUniqueName="[Cleaned Orders Dataset].[Gross Revenue].[All]" dimensionUniqueName="[Cleaned Orders Dataset]" displayFolder="" count="0" memberValueDatatype="5" unbalanced="0"/>
    <cacheHierarchy uniqueName="[Cleaned Orders Dataset].[Amount Paid]" caption="Amount Paid" attribute="1" defaultMemberUniqueName="[Cleaned Orders Dataset].[Amount Paid].[All]" allUniqueName="[Cleaned Orders Dataset].[Amount Paid].[All]" dimensionUniqueName="[Cleaned Orders Dataset]" displayFolder="" count="0" memberValueDatatype="5" unbalanced="0"/>
    <cacheHierarchy uniqueName="[Cleaned Orders Dataset].[Refund Amount]" caption="Refund Amount" attribute="1" defaultMemberUniqueName="[Cleaned Orders Dataset].[Refund Amount].[All]" allUniqueName="[Cleaned Orders Dataset].[Refund Amount].[All]" dimensionUniqueName="[Cleaned Orders Dataset]" displayFolder="" count="0" memberValueDatatype="5" unbalanced="0"/>
    <cacheHierarchy uniqueName="[Cleaned Orders Dataset].[Net Revenue]" caption="Net Revenue" attribute="1" defaultMemberUniqueName="[Cleaned Orders Dataset].[Net Revenue].[All]" allUniqueName="[Cleaned Orders Dataset].[Net Revenue].[All]" dimensionUniqueName="[Cleaned Orders Dataset]" displayFolder="" count="0" memberValueDatatype="5" unbalanced="0"/>
    <cacheHierarchy uniqueName="[Cleaned Orders Dataset].[Payment Delay (Days)]" caption="Payment Delay (Days)" attribute="1" defaultMemberUniqueName="[Cleaned Orders Dataset].[Payment Delay (Days)].[All]" allUniqueName="[Cleaned Orders Dataset].[Payment Delay (Days)].[All]" dimensionUniqueName="[Cleaned Orders Dataset]" displayFolder="" count="0" memberValueDatatype="20" unbalanced="0"/>
    <cacheHierarchy uniqueName="[Cleaned Orders Dataset].[Actual Status]" caption="Actual Status" attribute="1" defaultMemberUniqueName="[Cleaned Orders Dataset].[Actual Status].[All]" allUniqueName="[Cleaned Orders Dataset].[Actual Status].[All]" dimensionUniqueName="[Cleaned Orders Dataset]" displayFolder="" count="2" memberValueDatatype="130" unbalanced="0">
      <fieldsUsage count="2">
        <fieldUsage x="-1"/>
        <fieldUsage x="2"/>
      </fieldsUsage>
    </cacheHierarchy>
    <cacheHierarchy uniqueName="[Cleaned Orders Dataset].[Refund Reason]" caption="Refund Reason" attribute="1" defaultMemberUniqueName="[Cleaned Orders Dataset].[Refund Reason].[All]" allUniqueName="[Cleaned Orders Dataset].[Refund Reason].[All]" dimensionUniqueName="[Cleaned Orders Dataset]" displayFolder="" count="0" memberValueDatatype="130" unbalanced="0"/>
    <cacheHierarchy uniqueName="[Cleaned Orders Dataset].[Overdue Range]" caption="Overdue Range" attribute="1" defaultMemberUniqueName="[Cleaned Orders Dataset].[Overdue Range].[All]" allUniqueName="[Cleaned Orders Dataset].[Overdue Range].[All]" dimensionUniqueName="[Cleaned Orders Dataset]" displayFolder="" count="0" memberValueDatatype="130" unbalanced="0"/>
    <cacheHierarchy uniqueName="[Cleaned Orders Dataset].[Email]" caption="Email" attribute="1" defaultMemberUniqueName="[Cleaned Orders Dataset].[Email].[All]" allUniqueName="[Cleaned Orders Dataset].[Email].[All]" dimensionUniqueName="[Cleaned Orders Dataset]" displayFolder="" count="0" memberValueDatatype="130" unbalanced="0" hidden="1"/>
    <cacheHierarchy uniqueName="[Cleaned Orders Dataset].[Order Date]" caption="Order Date" attribute="1" time="1" defaultMemberUniqueName="[Cleaned Orders Dataset].[Order Date].[All]" allUniqueName="[Cleaned Orders Dataset].[Order Date].[All]" dimensionUniqueName="[Cleaned Orders Dataset]" displayFolder="" count="0" memberValueDatatype="7" unbalanced="0" hidden="1"/>
    <cacheHierarchy uniqueName="[Cleaned Orders Dataset].[Order ID]" caption="Order ID" attribute="1" defaultMemberUniqueName="[Cleaned Orders Dataset].[Order ID].[All]" allUniqueName="[Cleaned Orders Dataset].[Order ID].[All]" dimensionUniqueName="[Cleaned Orders Dataset]" displayFolder="" count="0" memberValueDatatype="130" unbalanced="0" hidden="1"/>
    <cacheHierarchy uniqueName="[Cleaned Orders Dataset].[Payment Date]" caption="Payment Date" attribute="1" time="1" defaultMemberUniqueName="[Cleaned Orders Dataset].[Payment Date].[All]" allUniqueName="[Cleaned Orders Dataset].[Payment Date].[All]" dimensionUniqueName="[Cleaned Orders Dataset]" displayFolder="" count="0" memberValueDatatype="7" unbalanced="0" hidden="1"/>
    <cacheHierarchy uniqueName="[Cleaned Orders Dataset].[Price]" caption="Price" attribute="1" defaultMemberUniqueName="[Cleaned Orders Dataset].[Price].[All]" allUniqueName="[Cleaned Orders Dataset].[Price].[All]" dimensionUniqueName="[Cleaned Orders Dataset]" displayFolder="" count="0" memberValueDatatype="5" unbalanced="0" hidden="1"/>
    <cacheHierarchy uniqueName="[Cleaned Orders Dataset].[Quantity]" caption="Quantity" attribute="1" defaultMemberUniqueName="[Cleaned Orders Dataset].[Quantity].[All]" allUniqueName="[Cleaned Orders Dataset].[Quantity].[All]" dimensionUniqueName="[Cleaned Orders Dataset]" displayFolder="" count="0" memberValueDatatype="20" unbalanced="0" hidden="1"/>
    <cacheHierarchy uniqueName="[Cleaned Orders Dataset].[Reported Status]" caption="Reported Status" attribute="1" defaultMemberUniqueName="[Cleaned Orders Dataset].[Reported Status].[All]" allUniqueName="[Cleaned Orders Dataset].[Reported Status].[All]" dimensionUniqueName="[Cleaned Orders Dataset]" displayFolder="" count="0" memberValueDatatype="130" unbalanced="0" hidden="1"/>
    <cacheHierarchy uniqueName="[Cleaned Orders Dataset].[Shipping Date]" caption="Shipping Date" attribute="1" time="1" defaultMemberUniqueName="[Cleaned Orders Dataset].[Shipping Date].[All]" allUniqueName="[Cleaned Orders Dataset].[Shipping Date].[All]" dimensionUniqueName="[Cleaned Orders Dataset]" displayFolder="" count="0" memberValueDatatype="7" unbalanced="0" hidden="1"/>
    <cacheHierarchy uniqueName="[Cleaned Orders Dataset].[Year]" caption="Year" attribute="1" defaultMemberUniqueName="[Cleaned Orders Dataset].[Year].[All]" allUniqueName="[Cleaned Orders Dataset].[Year].[All]" dimensionUniqueName="[Cleaned Orders Dataset]" displayFolder="" count="0" memberValueDatatype="20" unbalanced="0" hidden="1"/>
    <cacheHierarchy uniqueName="[Cleaned Orders Dataset].[Year-Month]" caption="Year-Month" attribute="1" defaultMemberUniqueName="[Cleaned Orders Dataset].[Year-Month].[All]" allUniqueName="[Cleaned Orders Dataset].[Year-Month].[All]" dimensionUniqueName="[Cleaned Orders Dataset]" displayFolder="" count="0" memberValueDatatype="130" unbalanced="0" hidden="1"/>
    <cacheHierarchy uniqueName="[Measures].[Total Gross Revenue]" caption="Total Gross Revenue" measure="1" displayFolder="" measureGroup="Cleaned Orders Dataset" count="0"/>
    <cacheHierarchy uniqueName="[Measures].[Total Net Revenue]" caption="Total Net Revenue" measure="1" displayFolder="" measureGroup="Cleaned Orders Dataset" count="0" oneField="1">
      <fieldsUsage count="1">
        <fieldUsage x="1"/>
      </fieldsUsage>
    </cacheHierarchy>
    <cacheHierarchy uniqueName="[Measures].[Total Refund Amount]" caption="Total Refund Amount" measure="1" displayFolder="" measureGroup="Cleaned Orders Dataset" count="0"/>
    <cacheHierarchy uniqueName="[Measures].[Total Orders]" caption="Total Orders" measure="1" displayFolder="" measureGroup="Cleaned Orders Dataset" count="0"/>
    <cacheHierarchy uniqueName="[Measures].[Refund Rate %]" caption="Refund Rate %" measure="1" displayFolder="" measureGroup="Cleaned Orders Dataset" count="0"/>
    <cacheHierarchy uniqueName="[Measures].[Data Accuracy %]" caption="Data Accuracy %" measure="1" displayFolder="" measureGroup="Cleaned Orders Dataset" count="0"/>
    <cacheHierarchy uniqueName="[Measures].[Average Payment Delay]" caption="Average Payment Delay" measure="1" displayFolder="" measureGroup="Cleaned Orders Dataset" count="0"/>
    <cacheHierarchy uniqueName="[Measures].[__XL_Count Cleaned Orders Dataset]" caption="__XL_Count Cleaned Orders Dataset" measure="1" displayFolder="" measureGroup="Cleaned Orders Dataset" count="0" hidden="1"/>
    <cacheHierarchy uniqueName="[Measures].[__No measures defined]" caption="__No measures defined" measure="1" displayFolder="" count="0" hidden="1"/>
    <cacheHierarchy uniqueName="[Measures].[Sum of Gross Revenue]" caption="Sum of Gross Revenue" measure="1" displayFolder="" measureGroup="Cleaned Orders Datase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ed Orders Dataset" count="0" hidden="1">
      <extLst>
        <ext xmlns:x15="http://schemas.microsoft.com/office/spreadsheetml/2010/11/main" uri="{B97F6D7D-B522-45F9-BDA1-12C45D357490}">
          <x15:cacheHierarchy aggregatedColumn="17"/>
        </ext>
      </extLst>
    </cacheHierarchy>
    <cacheHierarchy uniqueName="[Measures].[Sum of Net Revenue]" caption="Sum of Net Revenue" measure="1" displayFolder="" measureGroup="Cleaned Orders Dataset" count="0" hidden="1">
      <extLst>
        <ext xmlns:x15="http://schemas.microsoft.com/office/spreadsheetml/2010/11/main" uri="{B97F6D7D-B522-45F9-BDA1-12C45D357490}">
          <x15:cacheHierarchy aggregatedColumn="8"/>
        </ext>
      </extLst>
    </cacheHierarchy>
  </cacheHierarchies>
  <kpis count="0"/>
  <dimensions count="2">
    <dimension name="Cleaned Orders Dataset" uniqueName="[Cleaned Orders Dataset]" caption="Cleaned Orders Dataset"/>
    <dimension measure="1" name="Measures" uniqueName="[Measures]" caption="Measures"/>
  </dimensions>
  <measureGroups count="1">
    <measureGroup name="Cleaned Orders Dataset" caption="Cleaned Orders 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584173495372" backgroundQuery="1" createdVersion="8" refreshedVersion="8" minRefreshableVersion="3" recordCount="0" supportSubquery="1" supportAdvancedDrill="1" xr:uid="{C45CFD3D-14E5-445E-843E-080B7F1F3F48}">
  <cacheSource type="external" connectionId="9"/>
  <cacheFields count="5">
    <cacheField name="[Cleaned Orders Dataset].[Product Name].[Product Name]" caption="Product Name" numFmtId="0" hierarchy="2" level="1">
      <sharedItems count="4">
        <s v="Keyboard"/>
        <s v="Laptop"/>
        <s v="Monitor"/>
        <s v="Mouse"/>
      </sharedItems>
    </cacheField>
    <cacheField name="[Measures].[Total Net Revenue]" caption="Total Net Revenue" numFmtId="0" hierarchy="24" level="32767"/>
    <cacheField name="[Cleaned Orders Dataset].[Actual Status].[Actual Status]" caption="Actual Status" numFmtId="0" hierarchy="10" level="1">
      <sharedItems containsSemiMixedTypes="0" containsNonDate="0" containsString="0"/>
    </cacheField>
    <cacheField name="[Cleaned Orders Dataset].[Country].[Country]" caption="Country" numFmtId="0" hierarchy="1" level="1">
      <sharedItems containsSemiMixedTypes="0" containsNonDate="0" containsString="0"/>
    </cacheField>
    <cacheField name="[Cleaned Orders Dataset].[Month Name].[Month Name]" caption="Month Name" numFmtId="0" hierarchy="3" level="1">
      <sharedItems containsSemiMixedTypes="0" containsNonDate="0" containsString="0"/>
    </cacheField>
  </cacheFields>
  <cacheHierarchies count="35">
    <cacheHierarchy uniqueName="[Cleaned Orders Dataset].[Customer Name]" caption="Customer Name" attribute="1" defaultMemberUniqueName="[Cleaned Orders Dataset].[Customer Name].[All]" allUniqueName="[Cleaned Orders Dataset].[Customer Name].[All]" dimensionUniqueName="[Cleaned Orders Dataset]" displayFolder="" count="0" memberValueDatatype="130" unbalanced="0"/>
    <cacheHierarchy uniqueName="[Cleaned Orders Dataset].[Country]" caption="Country" attribute="1" defaultMemberUniqueName="[Cleaned Orders Dataset].[Country].[All]" allUniqueName="[Cleaned Orders Dataset].[Country].[All]" dimensionUniqueName="[Cleaned Orders Dataset]" displayFolder="" count="2" memberValueDatatype="130" unbalanced="0">
      <fieldsUsage count="2">
        <fieldUsage x="-1"/>
        <fieldUsage x="3"/>
      </fieldsUsage>
    </cacheHierarchy>
    <cacheHierarchy uniqueName="[Cleaned Orders Dataset].[Product Name]" caption="Product Name" attribute="1" defaultMemberUniqueName="[Cleaned Orders Dataset].[Product Name].[All]" allUniqueName="[Cleaned Orders Dataset].[Product Name].[All]" dimensionUniqueName="[Cleaned Orders Dataset]" displayFolder="" count="2" memberValueDatatype="130" unbalanced="0">
      <fieldsUsage count="2">
        <fieldUsage x="-1"/>
        <fieldUsage x="0"/>
      </fieldsUsage>
    </cacheHierarchy>
    <cacheHierarchy uniqueName="[Cleaned Orders Dataset].[Month Name]" caption="Month Name" attribute="1" defaultMemberUniqueName="[Cleaned Orders Dataset].[Month Name].[All]" allUniqueName="[Cleaned Orders Dataset].[Month Name].[All]" dimensionUniqueName="[Cleaned Orders Dataset]" displayFolder="" count="2" memberValueDatatype="130" unbalanced="0">
      <fieldsUsage count="2">
        <fieldUsage x="-1"/>
        <fieldUsage x="4"/>
      </fieldsUsage>
    </cacheHierarchy>
    <cacheHierarchy uniqueName="[Cleaned Orders Dataset].[Month]" caption="Month" attribute="1" defaultMemberUniqueName="[Cleaned Orders Dataset].[Month].[All]" allUniqueName="[Cleaned Orders Dataset].[Month].[All]" dimensionUniqueName="[Cleaned Orders Dataset]" displayFolder="" count="0" memberValueDatatype="20" unbalanced="0"/>
    <cacheHierarchy uniqueName="[Cleaned Orders Dataset].[Gross Revenue]" caption="Gross Revenue" attribute="1" defaultMemberUniqueName="[Cleaned Orders Dataset].[Gross Revenue].[All]" allUniqueName="[Cleaned Orders Dataset].[Gross Revenue].[All]" dimensionUniqueName="[Cleaned Orders Dataset]" displayFolder="" count="0" memberValueDatatype="5" unbalanced="0"/>
    <cacheHierarchy uniqueName="[Cleaned Orders Dataset].[Amount Paid]" caption="Amount Paid" attribute="1" defaultMemberUniqueName="[Cleaned Orders Dataset].[Amount Paid].[All]" allUniqueName="[Cleaned Orders Dataset].[Amount Paid].[All]" dimensionUniqueName="[Cleaned Orders Dataset]" displayFolder="" count="0" memberValueDatatype="5" unbalanced="0"/>
    <cacheHierarchy uniqueName="[Cleaned Orders Dataset].[Refund Amount]" caption="Refund Amount" attribute="1" defaultMemberUniqueName="[Cleaned Orders Dataset].[Refund Amount].[All]" allUniqueName="[Cleaned Orders Dataset].[Refund Amount].[All]" dimensionUniqueName="[Cleaned Orders Dataset]" displayFolder="" count="0" memberValueDatatype="5" unbalanced="0"/>
    <cacheHierarchy uniqueName="[Cleaned Orders Dataset].[Net Revenue]" caption="Net Revenue" attribute="1" defaultMemberUniqueName="[Cleaned Orders Dataset].[Net Revenue].[All]" allUniqueName="[Cleaned Orders Dataset].[Net Revenue].[All]" dimensionUniqueName="[Cleaned Orders Dataset]" displayFolder="" count="0" memberValueDatatype="5" unbalanced="0"/>
    <cacheHierarchy uniqueName="[Cleaned Orders Dataset].[Payment Delay (Days)]" caption="Payment Delay (Days)" attribute="1" defaultMemberUniqueName="[Cleaned Orders Dataset].[Payment Delay (Days)].[All]" allUniqueName="[Cleaned Orders Dataset].[Payment Delay (Days)].[All]" dimensionUniqueName="[Cleaned Orders Dataset]" displayFolder="" count="0" memberValueDatatype="20" unbalanced="0"/>
    <cacheHierarchy uniqueName="[Cleaned Orders Dataset].[Actual Status]" caption="Actual Status" attribute="1" defaultMemberUniqueName="[Cleaned Orders Dataset].[Actual Status].[All]" allUniqueName="[Cleaned Orders Dataset].[Actual Status].[All]" dimensionUniqueName="[Cleaned Orders Dataset]" displayFolder="" count="2" memberValueDatatype="130" unbalanced="0">
      <fieldsUsage count="2">
        <fieldUsage x="-1"/>
        <fieldUsage x="2"/>
      </fieldsUsage>
    </cacheHierarchy>
    <cacheHierarchy uniqueName="[Cleaned Orders Dataset].[Refund Reason]" caption="Refund Reason" attribute="1" defaultMemberUniqueName="[Cleaned Orders Dataset].[Refund Reason].[All]" allUniqueName="[Cleaned Orders Dataset].[Refund Reason].[All]" dimensionUniqueName="[Cleaned Orders Dataset]" displayFolder="" count="0" memberValueDatatype="130" unbalanced="0"/>
    <cacheHierarchy uniqueName="[Cleaned Orders Dataset].[Overdue Range]" caption="Overdue Range" attribute="1" defaultMemberUniqueName="[Cleaned Orders Dataset].[Overdue Range].[All]" allUniqueName="[Cleaned Orders Dataset].[Overdue Range].[All]" dimensionUniqueName="[Cleaned Orders Dataset]" displayFolder="" count="0" memberValueDatatype="130" unbalanced="0"/>
    <cacheHierarchy uniqueName="[Cleaned Orders Dataset].[Email]" caption="Email" attribute="1" defaultMemberUniqueName="[Cleaned Orders Dataset].[Email].[All]" allUniqueName="[Cleaned Orders Dataset].[Email].[All]" dimensionUniqueName="[Cleaned Orders Dataset]" displayFolder="" count="0" memberValueDatatype="130" unbalanced="0" hidden="1"/>
    <cacheHierarchy uniqueName="[Cleaned Orders Dataset].[Order Date]" caption="Order Date" attribute="1" time="1" defaultMemberUniqueName="[Cleaned Orders Dataset].[Order Date].[All]" allUniqueName="[Cleaned Orders Dataset].[Order Date].[All]" dimensionUniqueName="[Cleaned Orders Dataset]" displayFolder="" count="0" memberValueDatatype="7" unbalanced="0" hidden="1"/>
    <cacheHierarchy uniqueName="[Cleaned Orders Dataset].[Order ID]" caption="Order ID" attribute="1" defaultMemberUniqueName="[Cleaned Orders Dataset].[Order ID].[All]" allUniqueName="[Cleaned Orders Dataset].[Order ID].[All]" dimensionUniqueName="[Cleaned Orders Dataset]" displayFolder="" count="0" memberValueDatatype="130" unbalanced="0" hidden="1"/>
    <cacheHierarchy uniqueName="[Cleaned Orders Dataset].[Payment Date]" caption="Payment Date" attribute="1" time="1" defaultMemberUniqueName="[Cleaned Orders Dataset].[Payment Date].[All]" allUniqueName="[Cleaned Orders Dataset].[Payment Date].[All]" dimensionUniqueName="[Cleaned Orders Dataset]" displayFolder="" count="0" memberValueDatatype="7" unbalanced="0" hidden="1"/>
    <cacheHierarchy uniqueName="[Cleaned Orders Dataset].[Price]" caption="Price" attribute="1" defaultMemberUniqueName="[Cleaned Orders Dataset].[Price].[All]" allUniqueName="[Cleaned Orders Dataset].[Price].[All]" dimensionUniqueName="[Cleaned Orders Dataset]" displayFolder="" count="0" memberValueDatatype="5" unbalanced="0" hidden="1"/>
    <cacheHierarchy uniqueName="[Cleaned Orders Dataset].[Quantity]" caption="Quantity" attribute="1" defaultMemberUniqueName="[Cleaned Orders Dataset].[Quantity].[All]" allUniqueName="[Cleaned Orders Dataset].[Quantity].[All]" dimensionUniqueName="[Cleaned Orders Dataset]" displayFolder="" count="0" memberValueDatatype="20" unbalanced="0" hidden="1"/>
    <cacheHierarchy uniqueName="[Cleaned Orders Dataset].[Reported Status]" caption="Reported Status" attribute="1" defaultMemberUniqueName="[Cleaned Orders Dataset].[Reported Status].[All]" allUniqueName="[Cleaned Orders Dataset].[Reported Status].[All]" dimensionUniqueName="[Cleaned Orders Dataset]" displayFolder="" count="0" memberValueDatatype="130" unbalanced="0" hidden="1"/>
    <cacheHierarchy uniqueName="[Cleaned Orders Dataset].[Shipping Date]" caption="Shipping Date" attribute="1" time="1" defaultMemberUniqueName="[Cleaned Orders Dataset].[Shipping Date].[All]" allUniqueName="[Cleaned Orders Dataset].[Shipping Date].[All]" dimensionUniqueName="[Cleaned Orders Dataset]" displayFolder="" count="0" memberValueDatatype="7" unbalanced="0" hidden="1"/>
    <cacheHierarchy uniqueName="[Cleaned Orders Dataset].[Year]" caption="Year" attribute="1" defaultMemberUniqueName="[Cleaned Orders Dataset].[Year].[All]" allUniqueName="[Cleaned Orders Dataset].[Year].[All]" dimensionUniqueName="[Cleaned Orders Dataset]" displayFolder="" count="0" memberValueDatatype="20" unbalanced="0" hidden="1"/>
    <cacheHierarchy uniqueName="[Cleaned Orders Dataset].[Year-Month]" caption="Year-Month" attribute="1" defaultMemberUniqueName="[Cleaned Orders Dataset].[Year-Month].[All]" allUniqueName="[Cleaned Orders Dataset].[Year-Month].[All]" dimensionUniqueName="[Cleaned Orders Dataset]" displayFolder="" count="0" memberValueDatatype="130" unbalanced="0" hidden="1"/>
    <cacheHierarchy uniqueName="[Measures].[Total Gross Revenue]" caption="Total Gross Revenue" measure="1" displayFolder="" measureGroup="Cleaned Orders Dataset" count="0"/>
    <cacheHierarchy uniqueName="[Measures].[Total Net Revenue]" caption="Total Net Revenue" measure="1" displayFolder="" measureGroup="Cleaned Orders Dataset" count="0" oneField="1">
      <fieldsUsage count="1">
        <fieldUsage x="1"/>
      </fieldsUsage>
    </cacheHierarchy>
    <cacheHierarchy uniqueName="[Measures].[Total Refund Amount]" caption="Total Refund Amount" measure="1" displayFolder="" measureGroup="Cleaned Orders Dataset" count="0"/>
    <cacheHierarchy uniqueName="[Measures].[Total Orders]" caption="Total Orders" measure="1" displayFolder="" measureGroup="Cleaned Orders Dataset" count="0"/>
    <cacheHierarchy uniqueName="[Measures].[Refund Rate %]" caption="Refund Rate %" measure="1" displayFolder="" measureGroup="Cleaned Orders Dataset" count="0"/>
    <cacheHierarchy uniqueName="[Measures].[Data Accuracy %]" caption="Data Accuracy %" measure="1" displayFolder="" measureGroup="Cleaned Orders Dataset" count="0"/>
    <cacheHierarchy uniqueName="[Measures].[Average Payment Delay]" caption="Average Payment Delay" measure="1" displayFolder="" measureGroup="Cleaned Orders Dataset" count="0"/>
    <cacheHierarchy uniqueName="[Measures].[__XL_Count Cleaned Orders Dataset]" caption="__XL_Count Cleaned Orders Dataset" measure="1" displayFolder="" measureGroup="Cleaned Orders Dataset" count="0" hidden="1"/>
    <cacheHierarchy uniqueName="[Measures].[__No measures defined]" caption="__No measures defined" measure="1" displayFolder="" count="0" hidden="1"/>
    <cacheHierarchy uniqueName="[Measures].[Sum of Gross Revenue]" caption="Sum of Gross Revenue" measure="1" displayFolder="" measureGroup="Cleaned Orders Datase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ed Orders Dataset" count="0" hidden="1">
      <extLst>
        <ext xmlns:x15="http://schemas.microsoft.com/office/spreadsheetml/2010/11/main" uri="{B97F6D7D-B522-45F9-BDA1-12C45D357490}">
          <x15:cacheHierarchy aggregatedColumn="17"/>
        </ext>
      </extLst>
    </cacheHierarchy>
    <cacheHierarchy uniqueName="[Measures].[Sum of Net Revenue]" caption="Sum of Net Revenue" measure="1" displayFolder="" measureGroup="Cleaned Orders Dataset" count="0" hidden="1">
      <extLst>
        <ext xmlns:x15="http://schemas.microsoft.com/office/spreadsheetml/2010/11/main" uri="{B97F6D7D-B522-45F9-BDA1-12C45D357490}">
          <x15:cacheHierarchy aggregatedColumn="8"/>
        </ext>
      </extLst>
    </cacheHierarchy>
  </cacheHierarchies>
  <kpis count="0"/>
  <dimensions count="2">
    <dimension name="Cleaned Orders Dataset" uniqueName="[Cleaned Orders Dataset]" caption="Cleaned Orders Dataset"/>
    <dimension measure="1" name="Measures" uniqueName="[Measures]" caption="Measures"/>
  </dimensions>
  <measureGroups count="1">
    <measureGroup name="Cleaned Orders Dataset" caption="Cleaned Orders 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584174305557" backgroundQuery="1" createdVersion="8" refreshedVersion="8" minRefreshableVersion="3" recordCount="0" supportSubquery="1" supportAdvancedDrill="1" xr:uid="{35AE8E22-F040-49E5-94E9-22015211B4D9}">
  <cacheSource type="external" connectionId="9"/>
  <cacheFields count="5">
    <cacheField name="[Measures].[Average Payment Delay]" caption="Average Payment Delay" numFmtId="0" hierarchy="29" level="32767"/>
    <cacheField name="[Cleaned Orders Dataset].[Actual Status].[Actual Status]" caption="Actual Status" numFmtId="0" hierarchy="10" level="1">
      <sharedItems containsSemiMixedTypes="0" containsNonDate="0" containsString="0"/>
    </cacheField>
    <cacheField name="[Cleaned Orders Dataset].[Country].[Country]" caption="Country" numFmtId="0" hierarchy="1" level="1">
      <sharedItems containsSemiMixedTypes="0" containsNonDate="0" containsString="0"/>
    </cacheField>
    <cacheField name="[Cleaned Orders Dataset].[Product Name].[Product Name]" caption="Product Name" numFmtId="0" hierarchy="2" level="1">
      <sharedItems containsSemiMixedTypes="0" containsNonDate="0" containsString="0"/>
    </cacheField>
    <cacheField name="[Cleaned Orders Dataset].[Month Name].[Month Name]" caption="Month Name" numFmtId="0" hierarchy="3" level="1">
      <sharedItems containsSemiMixedTypes="0" containsNonDate="0" containsString="0"/>
    </cacheField>
  </cacheFields>
  <cacheHierarchies count="35">
    <cacheHierarchy uniqueName="[Cleaned Orders Dataset].[Customer Name]" caption="Customer Name" attribute="1" defaultMemberUniqueName="[Cleaned Orders Dataset].[Customer Name].[All]" allUniqueName="[Cleaned Orders Dataset].[Customer Name].[All]" dimensionUniqueName="[Cleaned Orders Dataset]" displayFolder="" count="0" memberValueDatatype="130" unbalanced="0"/>
    <cacheHierarchy uniqueName="[Cleaned Orders Dataset].[Country]" caption="Country" attribute="1" defaultMemberUniqueName="[Cleaned Orders Dataset].[Country].[All]" allUniqueName="[Cleaned Orders Dataset].[Country].[All]" dimensionUniqueName="[Cleaned Orders Dataset]" displayFolder="" count="2" memberValueDatatype="130" unbalanced="0">
      <fieldsUsage count="2">
        <fieldUsage x="-1"/>
        <fieldUsage x="2"/>
      </fieldsUsage>
    </cacheHierarchy>
    <cacheHierarchy uniqueName="[Cleaned Orders Dataset].[Product Name]" caption="Product Name" attribute="1" defaultMemberUniqueName="[Cleaned Orders Dataset].[Product Name].[All]" allUniqueName="[Cleaned Orders Dataset].[Product Name].[All]" dimensionUniqueName="[Cleaned Orders Dataset]" displayFolder="" count="2" memberValueDatatype="130" unbalanced="0">
      <fieldsUsage count="2">
        <fieldUsage x="-1"/>
        <fieldUsage x="3"/>
      </fieldsUsage>
    </cacheHierarchy>
    <cacheHierarchy uniqueName="[Cleaned Orders Dataset].[Month Name]" caption="Month Name" attribute="1" defaultMemberUniqueName="[Cleaned Orders Dataset].[Month Name].[All]" allUniqueName="[Cleaned Orders Dataset].[Month Name].[All]" dimensionUniqueName="[Cleaned Orders Dataset]" displayFolder="" count="2" memberValueDatatype="130" unbalanced="0">
      <fieldsUsage count="2">
        <fieldUsage x="-1"/>
        <fieldUsage x="4"/>
      </fieldsUsage>
    </cacheHierarchy>
    <cacheHierarchy uniqueName="[Cleaned Orders Dataset].[Month]" caption="Month" attribute="1" defaultMemberUniqueName="[Cleaned Orders Dataset].[Month].[All]" allUniqueName="[Cleaned Orders Dataset].[Month].[All]" dimensionUniqueName="[Cleaned Orders Dataset]" displayFolder="" count="0" memberValueDatatype="20" unbalanced="0"/>
    <cacheHierarchy uniqueName="[Cleaned Orders Dataset].[Gross Revenue]" caption="Gross Revenue" attribute="1" defaultMemberUniqueName="[Cleaned Orders Dataset].[Gross Revenue].[All]" allUniqueName="[Cleaned Orders Dataset].[Gross Revenue].[All]" dimensionUniqueName="[Cleaned Orders Dataset]" displayFolder="" count="0" memberValueDatatype="5" unbalanced="0"/>
    <cacheHierarchy uniqueName="[Cleaned Orders Dataset].[Amount Paid]" caption="Amount Paid" attribute="1" defaultMemberUniqueName="[Cleaned Orders Dataset].[Amount Paid].[All]" allUniqueName="[Cleaned Orders Dataset].[Amount Paid].[All]" dimensionUniqueName="[Cleaned Orders Dataset]" displayFolder="" count="0" memberValueDatatype="5" unbalanced="0"/>
    <cacheHierarchy uniqueName="[Cleaned Orders Dataset].[Refund Amount]" caption="Refund Amount" attribute="1" defaultMemberUniqueName="[Cleaned Orders Dataset].[Refund Amount].[All]" allUniqueName="[Cleaned Orders Dataset].[Refund Amount].[All]" dimensionUniqueName="[Cleaned Orders Dataset]" displayFolder="" count="0" memberValueDatatype="5" unbalanced="0"/>
    <cacheHierarchy uniqueName="[Cleaned Orders Dataset].[Net Revenue]" caption="Net Revenue" attribute="1" defaultMemberUniqueName="[Cleaned Orders Dataset].[Net Revenue].[All]" allUniqueName="[Cleaned Orders Dataset].[Net Revenue].[All]" dimensionUniqueName="[Cleaned Orders Dataset]" displayFolder="" count="0" memberValueDatatype="5" unbalanced="0"/>
    <cacheHierarchy uniqueName="[Cleaned Orders Dataset].[Payment Delay (Days)]" caption="Payment Delay (Days)" attribute="1" defaultMemberUniqueName="[Cleaned Orders Dataset].[Payment Delay (Days)].[All]" allUniqueName="[Cleaned Orders Dataset].[Payment Delay (Days)].[All]" dimensionUniqueName="[Cleaned Orders Dataset]" displayFolder="" count="0" memberValueDatatype="20" unbalanced="0"/>
    <cacheHierarchy uniqueName="[Cleaned Orders Dataset].[Actual Status]" caption="Actual Status" attribute="1" defaultMemberUniqueName="[Cleaned Orders Dataset].[Actual Status].[All]" allUniqueName="[Cleaned Orders Dataset].[Actual Status].[All]" dimensionUniqueName="[Cleaned Orders Dataset]" displayFolder="" count="2" memberValueDatatype="130" unbalanced="0">
      <fieldsUsage count="2">
        <fieldUsage x="-1"/>
        <fieldUsage x="1"/>
      </fieldsUsage>
    </cacheHierarchy>
    <cacheHierarchy uniqueName="[Cleaned Orders Dataset].[Refund Reason]" caption="Refund Reason" attribute="1" defaultMemberUniqueName="[Cleaned Orders Dataset].[Refund Reason].[All]" allUniqueName="[Cleaned Orders Dataset].[Refund Reason].[All]" dimensionUniqueName="[Cleaned Orders Dataset]" displayFolder="" count="0" memberValueDatatype="130" unbalanced="0"/>
    <cacheHierarchy uniqueName="[Cleaned Orders Dataset].[Overdue Range]" caption="Overdue Range" attribute="1" defaultMemberUniqueName="[Cleaned Orders Dataset].[Overdue Range].[All]" allUniqueName="[Cleaned Orders Dataset].[Overdue Range].[All]" dimensionUniqueName="[Cleaned Orders Dataset]" displayFolder="" count="0" memberValueDatatype="130" unbalanced="0"/>
    <cacheHierarchy uniqueName="[Cleaned Orders Dataset].[Email]" caption="Email" attribute="1" defaultMemberUniqueName="[Cleaned Orders Dataset].[Email].[All]" allUniqueName="[Cleaned Orders Dataset].[Email].[All]" dimensionUniqueName="[Cleaned Orders Dataset]" displayFolder="" count="0" memberValueDatatype="130" unbalanced="0" hidden="1"/>
    <cacheHierarchy uniqueName="[Cleaned Orders Dataset].[Order Date]" caption="Order Date" attribute="1" time="1" defaultMemberUniqueName="[Cleaned Orders Dataset].[Order Date].[All]" allUniqueName="[Cleaned Orders Dataset].[Order Date].[All]" dimensionUniqueName="[Cleaned Orders Dataset]" displayFolder="" count="0" memberValueDatatype="7" unbalanced="0" hidden="1"/>
    <cacheHierarchy uniqueName="[Cleaned Orders Dataset].[Order ID]" caption="Order ID" attribute="1" defaultMemberUniqueName="[Cleaned Orders Dataset].[Order ID].[All]" allUniqueName="[Cleaned Orders Dataset].[Order ID].[All]" dimensionUniqueName="[Cleaned Orders Dataset]" displayFolder="" count="0" memberValueDatatype="130" unbalanced="0" hidden="1"/>
    <cacheHierarchy uniqueName="[Cleaned Orders Dataset].[Payment Date]" caption="Payment Date" attribute="1" time="1" defaultMemberUniqueName="[Cleaned Orders Dataset].[Payment Date].[All]" allUniqueName="[Cleaned Orders Dataset].[Payment Date].[All]" dimensionUniqueName="[Cleaned Orders Dataset]" displayFolder="" count="0" memberValueDatatype="7" unbalanced="0" hidden="1"/>
    <cacheHierarchy uniqueName="[Cleaned Orders Dataset].[Price]" caption="Price" attribute="1" defaultMemberUniqueName="[Cleaned Orders Dataset].[Price].[All]" allUniqueName="[Cleaned Orders Dataset].[Price].[All]" dimensionUniqueName="[Cleaned Orders Dataset]" displayFolder="" count="0" memberValueDatatype="5" unbalanced="0" hidden="1"/>
    <cacheHierarchy uniqueName="[Cleaned Orders Dataset].[Quantity]" caption="Quantity" attribute="1" defaultMemberUniqueName="[Cleaned Orders Dataset].[Quantity].[All]" allUniqueName="[Cleaned Orders Dataset].[Quantity].[All]" dimensionUniqueName="[Cleaned Orders Dataset]" displayFolder="" count="0" memberValueDatatype="20" unbalanced="0" hidden="1"/>
    <cacheHierarchy uniqueName="[Cleaned Orders Dataset].[Reported Status]" caption="Reported Status" attribute="1" defaultMemberUniqueName="[Cleaned Orders Dataset].[Reported Status].[All]" allUniqueName="[Cleaned Orders Dataset].[Reported Status].[All]" dimensionUniqueName="[Cleaned Orders Dataset]" displayFolder="" count="0" memberValueDatatype="130" unbalanced="0" hidden="1"/>
    <cacheHierarchy uniqueName="[Cleaned Orders Dataset].[Shipping Date]" caption="Shipping Date" attribute="1" time="1" defaultMemberUniqueName="[Cleaned Orders Dataset].[Shipping Date].[All]" allUniqueName="[Cleaned Orders Dataset].[Shipping Date].[All]" dimensionUniqueName="[Cleaned Orders Dataset]" displayFolder="" count="0" memberValueDatatype="7" unbalanced="0" hidden="1"/>
    <cacheHierarchy uniqueName="[Cleaned Orders Dataset].[Year]" caption="Year" attribute="1" defaultMemberUniqueName="[Cleaned Orders Dataset].[Year].[All]" allUniqueName="[Cleaned Orders Dataset].[Year].[All]" dimensionUniqueName="[Cleaned Orders Dataset]" displayFolder="" count="0" memberValueDatatype="20" unbalanced="0" hidden="1"/>
    <cacheHierarchy uniqueName="[Cleaned Orders Dataset].[Year-Month]" caption="Year-Month" attribute="1" defaultMemberUniqueName="[Cleaned Orders Dataset].[Year-Month].[All]" allUniqueName="[Cleaned Orders Dataset].[Year-Month].[All]" dimensionUniqueName="[Cleaned Orders Dataset]" displayFolder="" count="0" memberValueDatatype="130" unbalanced="0" hidden="1"/>
    <cacheHierarchy uniqueName="[Measures].[Total Gross Revenue]" caption="Total Gross Revenue" measure="1" displayFolder="" measureGroup="Cleaned Orders Dataset" count="0"/>
    <cacheHierarchy uniqueName="[Measures].[Total Net Revenue]" caption="Total Net Revenue" measure="1" displayFolder="" measureGroup="Cleaned Orders Dataset" count="0"/>
    <cacheHierarchy uniqueName="[Measures].[Total Refund Amount]" caption="Total Refund Amount" measure="1" displayFolder="" measureGroup="Cleaned Orders Dataset" count="0"/>
    <cacheHierarchy uniqueName="[Measures].[Total Orders]" caption="Total Orders" measure="1" displayFolder="" measureGroup="Cleaned Orders Dataset" count="0"/>
    <cacheHierarchy uniqueName="[Measures].[Refund Rate %]" caption="Refund Rate %" measure="1" displayFolder="" measureGroup="Cleaned Orders Dataset" count="0"/>
    <cacheHierarchy uniqueName="[Measures].[Data Accuracy %]" caption="Data Accuracy %" measure="1" displayFolder="" measureGroup="Cleaned Orders Dataset" count="0"/>
    <cacheHierarchy uniqueName="[Measures].[Average Payment Delay]" caption="Average Payment Delay" measure="1" displayFolder="" measureGroup="Cleaned Orders Dataset" count="0" oneField="1">
      <fieldsUsage count="1">
        <fieldUsage x="0"/>
      </fieldsUsage>
    </cacheHierarchy>
    <cacheHierarchy uniqueName="[Measures].[__XL_Count Cleaned Orders Dataset]" caption="__XL_Count Cleaned Orders Dataset" measure="1" displayFolder="" measureGroup="Cleaned Orders Dataset" count="0" hidden="1"/>
    <cacheHierarchy uniqueName="[Measures].[__No measures defined]" caption="__No measures defined" measure="1" displayFolder="" count="0" hidden="1"/>
    <cacheHierarchy uniqueName="[Measures].[Sum of Gross Revenue]" caption="Sum of Gross Revenue" measure="1" displayFolder="" measureGroup="Cleaned Orders Datase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ed Orders Dataset" count="0" hidden="1">
      <extLst>
        <ext xmlns:x15="http://schemas.microsoft.com/office/spreadsheetml/2010/11/main" uri="{B97F6D7D-B522-45F9-BDA1-12C45D357490}">
          <x15:cacheHierarchy aggregatedColumn="17"/>
        </ext>
      </extLst>
    </cacheHierarchy>
    <cacheHierarchy uniqueName="[Measures].[Sum of Net Revenue]" caption="Sum of Net Revenue" measure="1" displayFolder="" measureGroup="Cleaned Orders Dataset" count="0" hidden="1">
      <extLst>
        <ext xmlns:x15="http://schemas.microsoft.com/office/spreadsheetml/2010/11/main" uri="{B97F6D7D-B522-45F9-BDA1-12C45D357490}">
          <x15:cacheHierarchy aggregatedColumn="8"/>
        </ext>
      </extLst>
    </cacheHierarchy>
  </cacheHierarchies>
  <kpis count="0"/>
  <dimensions count="2">
    <dimension name="Cleaned Orders Dataset" uniqueName="[Cleaned Orders Dataset]" caption="Cleaned Orders Dataset"/>
    <dimension measure="1" name="Measures" uniqueName="[Measures]" caption="Measures"/>
  </dimensions>
  <measureGroups count="1">
    <measureGroup name="Cleaned Orders Dataset" caption="Cleaned Orders 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584175231481" backgroundQuery="1" createdVersion="8" refreshedVersion="8" minRefreshableVersion="3" recordCount="0" supportSubquery="1" supportAdvancedDrill="1" xr:uid="{B6FDDB8F-157B-4BC6-9C1F-950F42C4B0FD}">
  <cacheSource type="external" connectionId="9"/>
  <cacheFields count="4">
    <cacheField name="[Measures].[Data Accuracy %]" caption="Data Accuracy %" numFmtId="0" hierarchy="28" level="32767"/>
    <cacheField name="[Cleaned Orders Dataset].[Actual Status].[Actual Status]" caption="Actual Status" numFmtId="0" hierarchy="10" level="1">
      <sharedItems containsSemiMixedTypes="0" containsNonDate="0" containsString="0"/>
    </cacheField>
    <cacheField name="[Cleaned Orders Dataset].[Country].[Country]" caption="Country" numFmtId="0" hierarchy="1" level="1">
      <sharedItems containsSemiMixedTypes="0" containsNonDate="0" containsString="0"/>
    </cacheField>
    <cacheField name="[Cleaned Orders Dataset].[Product Name].[Product Name]" caption="Product Name" numFmtId="0" hierarchy="2" level="1">
      <sharedItems containsSemiMixedTypes="0" containsNonDate="0" containsString="0"/>
    </cacheField>
  </cacheFields>
  <cacheHierarchies count="35">
    <cacheHierarchy uniqueName="[Cleaned Orders Dataset].[Customer Name]" caption="Customer Name" attribute="1" defaultMemberUniqueName="[Cleaned Orders Dataset].[Customer Name].[All]" allUniqueName="[Cleaned Orders Dataset].[Customer Name].[All]" dimensionUniqueName="[Cleaned Orders Dataset]" displayFolder="" count="0" memberValueDatatype="130" unbalanced="0"/>
    <cacheHierarchy uniqueName="[Cleaned Orders Dataset].[Country]" caption="Country" attribute="1" defaultMemberUniqueName="[Cleaned Orders Dataset].[Country].[All]" allUniqueName="[Cleaned Orders Dataset].[Country].[All]" dimensionUniqueName="[Cleaned Orders Dataset]" displayFolder="" count="2" memberValueDatatype="130" unbalanced="0">
      <fieldsUsage count="2">
        <fieldUsage x="-1"/>
        <fieldUsage x="2"/>
      </fieldsUsage>
    </cacheHierarchy>
    <cacheHierarchy uniqueName="[Cleaned Orders Dataset].[Product Name]" caption="Product Name" attribute="1" defaultMemberUniqueName="[Cleaned Orders Dataset].[Product Name].[All]" allUniqueName="[Cleaned Orders Dataset].[Product Name].[All]" dimensionUniqueName="[Cleaned Orders Dataset]" displayFolder="" count="2" memberValueDatatype="130" unbalanced="0">
      <fieldsUsage count="2">
        <fieldUsage x="-1"/>
        <fieldUsage x="3"/>
      </fieldsUsage>
    </cacheHierarchy>
    <cacheHierarchy uniqueName="[Cleaned Orders Dataset].[Month Name]" caption="Month Name" attribute="1" defaultMemberUniqueName="[Cleaned Orders Dataset].[Month Name].[All]" allUniqueName="[Cleaned Orders Dataset].[Month Name].[All]" dimensionUniqueName="[Cleaned Orders Dataset]" displayFolder="" count="0" memberValueDatatype="130" unbalanced="0"/>
    <cacheHierarchy uniqueName="[Cleaned Orders Dataset].[Month]" caption="Month" attribute="1" defaultMemberUniqueName="[Cleaned Orders Dataset].[Month].[All]" allUniqueName="[Cleaned Orders Dataset].[Month].[All]" dimensionUniqueName="[Cleaned Orders Dataset]" displayFolder="" count="0" memberValueDatatype="20" unbalanced="0"/>
    <cacheHierarchy uniqueName="[Cleaned Orders Dataset].[Gross Revenue]" caption="Gross Revenue" attribute="1" defaultMemberUniqueName="[Cleaned Orders Dataset].[Gross Revenue].[All]" allUniqueName="[Cleaned Orders Dataset].[Gross Revenue].[All]" dimensionUniqueName="[Cleaned Orders Dataset]" displayFolder="" count="0" memberValueDatatype="5" unbalanced="0"/>
    <cacheHierarchy uniqueName="[Cleaned Orders Dataset].[Amount Paid]" caption="Amount Paid" attribute="1" defaultMemberUniqueName="[Cleaned Orders Dataset].[Amount Paid].[All]" allUniqueName="[Cleaned Orders Dataset].[Amount Paid].[All]" dimensionUniqueName="[Cleaned Orders Dataset]" displayFolder="" count="0" memberValueDatatype="5" unbalanced="0"/>
    <cacheHierarchy uniqueName="[Cleaned Orders Dataset].[Refund Amount]" caption="Refund Amount" attribute="1" defaultMemberUniqueName="[Cleaned Orders Dataset].[Refund Amount].[All]" allUniqueName="[Cleaned Orders Dataset].[Refund Amount].[All]" dimensionUniqueName="[Cleaned Orders Dataset]" displayFolder="" count="0" memberValueDatatype="5" unbalanced="0"/>
    <cacheHierarchy uniqueName="[Cleaned Orders Dataset].[Net Revenue]" caption="Net Revenue" attribute="1" defaultMemberUniqueName="[Cleaned Orders Dataset].[Net Revenue].[All]" allUniqueName="[Cleaned Orders Dataset].[Net Revenue].[All]" dimensionUniqueName="[Cleaned Orders Dataset]" displayFolder="" count="0" memberValueDatatype="5" unbalanced="0"/>
    <cacheHierarchy uniqueName="[Cleaned Orders Dataset].[Payment Delay (Days)]" caption="Payment Delay (Days)" attribute="1" defaultMemberUniqueName="[Cleaned Orders Dataset].[Payment Delay (Days)].[All]" allUniqueName="[Cleaned Orders Dataset].[Payment Delay (Days)].[All]" dimensionUniqueName="[Cleaned Orders Dataset]" displayFolder="" count="0" memberValueDatatype="20" unbalanced="0"/>
    <cacheHierarchy uniqueName="[Cleaned Orders Dataset].[Actual Status]" caption="Actual Status" attribute="1" defaultMemberUniqueName="[Cleaned Orders Dataset].[Actual Status].[All]" allUniqueName="[Cleaned Orders Dataset].[Actual Status].[All]" dimensionUniqueName="[Cleaned Orders Dataset]" displayFolder="" count="2" memberValueDatatype="130" unbalanced="0">
      <fieldsUsage count="2">
        <fieldUsage x="-1"/>
        <fieldUsage x="1"/>
      </fieldsUsage>
    </cacheHierarchy>
    <cacheHierarchy uniqueName="[Cleaned Orders Dataset].[Refund Reason]" caption="Refund Reason" attribute="1" defaultMemberUniqueName="[Cleaned Orders Dataset].[Refund Reason].[All]" allUniqueName="[Cleaned Orders Dataset].[Refund Reason].[All]" dimensionUniqueName="[Cleaned Orders Dataset]" displayFolder="" count="0" memberValueDatatype="130" unbalanced="0"/>
    <cacheHierarchy uniqueName="[Cleaned Orders Dataset].[Overdue Range]" caption="Overdue Range" attribute="1" defaultMemberUniqueName="[Cleaned Orders Dataset].[Overdue Range].[All]" allUniqueName="[Cleaned Orders Dataset].[Overdue Range].[All]" dimensionUniqueName="[Cleaned Orders Dataset]" displayFolder="" count="0" memberValueDatatype="130" unbalanced="0"/>
    <cacheHierarchy uniqueName="[Cleaned Orders Dataset].[Email]" caption="Email" attribute="1" defaultMemberUniqueName="[Cleaned Orders Dataset].[Email].[All]" allUniqueName="[Cleaned Orders Dataset].[Email].[All]" dimensionUniqueName="[Cleaned Orders Dataset]" displayFolder="" count="0" memberValueDatatype="130" unbalanced="0" hidden="1"/>
    <cacheHierarchy uniqueName="[Cleaned Orders Dataset].[Order Date]" caption="Order Date" attribute="1" time="1" defaultMemberUniqueName="[Cleaned Orders Dataset].[Order Date].[All]" allUniqueName="[Cleaned Orders Dataset].[Order Date].[All]" dimensionUniqueName="[Cleaned Orders Dataset]" displayFolder="" count="0" memberValueDatatype="7" unbalanced="0" hidden="1"/>
    <cacheHierarchy uniqueName="[Cleaned Orders Dataset].[Order ID]" caption="Order ID" attribute="1" defaultMemberUniqueName="[Cleaned Orders Dataset].[Order ID].[All]" allUniqueName="[Cleaned Orders Dataset].[Order ID].[All]" dimensionUniqueName="[Cleaned Orders Dataset]" displayFolder="" count="0" memberValueDatatype="130" unbalanced="0" hidden="1"/>
    <cacheHierarchy uniqueName="[Cleaned Orders Dataset].[Payment Date]" caption="Payment Date" attribute="1" time="1" defaultMemberUniqueName="[Cleaned Orders Dataset].[Payment Date].[All]" allUniqueName="[Cleaned Orders Dataset].[Payment Date].[All]" dimensionUniqueName="[Cleaned Orders Dataset]" displayFolder="" count="0" memberValueDatatype="7" unbalanced="0" hidden="1"/>
    <cacheHierarchy uniqueName="[Cleaned Orders Dataset].[Price]" caption="Price" attribute="1" defaultMemberUniqueName="[Cleaned Orders Dataset].[Price].[All]" allUniqueName="[Cleaned Orders Dataset].[Price].[All]" dimensionUniqueName="[Cleaned Orders Dataset]" displayFolder="" count="0" memberValueDatatype="5" unbalanced="0" hidden="1"/>
    <cacheHierarchy uniqueName="[Cleaned Orders Dataset].[Quantity]" caption="Quantity" attribute="1" defaultMemberUniqueName="[Cleaned Orders Dataset].[Quantity].[All]" allUniqueName="[Cleaned Orders Dataset].[Quantity].[All]" dimensionUniqueName="[Cleaned Orders Dataset]" displayFolder="" count="0" memberValueDatatype="20" unbalanced="0" hidden="1"/>
    <cacheHierarchy uniqueName="[Cleaned Orders Dataset].[Reported Status]" caption="Reported Status" attribute="1" defaultMemberUniqueName="[Cleaned Orders Dataset].[Reported Status].[All]" allUniqueName="[Cleaned Orders Dataset].[Reported Status].[All]" dimensionUniqueName="[Cleaned Orders Dataset]" displayFolder="" count="0" memberValueDatatype="130" unbalanced="0" hidden="1"/>
    <cacheHierarchy uniqueName="[Cleaned Orders Dataset].[Shipping Date]" caption="Shipping Date" attribute="1" time="1" defaultMemberUniqueName="[Cleaned Orders Dataset].[Shipping Date].[All]" allUniqueName="[Cleaned Orders Dataset].[Shipping Date].[All]" dimensionUniqueName="[Cleaned Orders Dataset]" displayFolder="" count="0" memberValueDatatype="7" unbalanced="0" hidden="1"/>
    <cacheHierarchy uniqueName="[Cleaned Orders Dataset].[Year]" caption="Year" attribute="1" defaultMemberUniqueName="[Cleaned Orders Dataset].[Year].[All]" allUniqueName="[Cleaned Orders Dataset].[Year].[All]" dimensionUniqueName="[Cleaned Orders Dataset]" displayFolder="" count="0" memberValueDatatype="20" unbalanced="0" hidden="1"/>
    <cacheHierarchy uniqueName="[Cleaned Orders Dataset].[Year-Month]" caption="Year-Month" attribute="1" defaultMemberUniqueName="[Cleaned Orders Dataset].[Year-Month].[All]" allUniqueName="[Cleaned Orders Dataset].[Year-Month].[All]" dimensionUniqueName="[Cleaned Orders Dataset]" displayFolder="" count="0" memberValueDatatype="130" unbalanced="0" hidden="1"/>
    <cacheHierarchy uniqueName="[Measures].[Total Gross Revenue]" caption="Total Gross Revenue" measure="1" displayFolder="" measureGroup="Cleaned Orders Dataset" count="0"/>
    <cacheHierarchy uniqueName="[Measures].[Total Net Revenue]" caption="Total Net Revenue" measure="1" displayFolder="" measureGroup="Cleaned Orders Dataset" count="0"/>
    <cacheHierarchy uniqueName="[Measures].[Total Refund Amount]" caption="Total Refund Amount" measure="1" displayFolder="" measureGroup="Cleaned Orders Dataset" count="0"/>
    <cacheHierarchy uniqueName="[Measures].[Total Orders]" caption="Total Orders" measure="1" displayFolder="" measureGroup="Cleaned Orders Dataset" count="0"/>
    <cacheHierarchy uniqueName="[Measures].[Refund Rate %]" caption="Refund Rate %" measure="1" displayFolder="" measureGroup="Cleaned Orders Dataset" count="0"/>
    <cacheHierarchy uniqueName="[Measures].[Data Accuracy %]" caption="Data Accuracy %" measure="1" displayFolder="" measureGroup="Cleaned Orders Dataset" count="0" oneField="1">
      <fieldsUsage count="1">
        <fieldUsage x="0"/>
      </fieldsUsage>
    </cacheHierarchy>
    <cacheHierarchy uniqueName="[Measures].[Average Payment Delay]" caption="Average Payment Delay" measure="1" displayFolder="" measureGroup="Cleaned Orders Dataset" count="0"/>
    <cacheHierarchy uniqueName="[Measures].[__XL_Count Cleaned Orders Dataset]" caption="__XL_Count Cleaned Orders Dataset" measure="1" displayFolder="" measureGroup="Cleaned Orders Dataset" count="0" hidden="1"/>
    <cacheHierarchy uniqueName="[Measures].[__No measures defined]" caption="__No measures defined" measure="1" displayFolder="" count="0" hidden="1"/>
    <cacheHierarchy uniqueName="[Measures].[Sum of Gross Revenue]" caption="Sum of Gross Revenue" measure="1" displayFolder="" measureGroup="Cleaned Orders Datase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ed Orders Dataset" count="0" hidden="1">
      <extLst>
        <ext xmlns:x15="http://schemas.microsoft.com/office/spreadsheetml/2010/11/main" uri="{B97F6D7D-B522-45F9-BDA1-12C45D357490}">
          <x15:cacheHierarchy aggregatedColumn="17"/>
        </ext>
      </extLst>
    </cacheHierarchy>
    <cacheHierarchy uniqueName="[Measures].[Sum of Net Revenue]" caption="Sum of Net Revenue" measure="1" displayFolder="" measureGroup="Cleaned Orders Dataset" count="0" hidden="1">
      <extLst>
        <ext xmlns:x15="http://schemas.microsoft.com/office/spreadsheetml/2010/11/main" uri="{B97F6D7D-B522-45F9-BDA1-12C45D357490}">
          <x15:cacheHierarchy aggregatedColumn="8"/>
        </ext>
      </extLst>
    </cacheHierarchy>
  </cacheHierarchies>
  <kpis count="0"/>
  <dimensions count="2">
    <dimension name="Cleaned Orders Dataset" uniqueName="[Cleaned Orders Dataset]" caption="Cleaned Orders Dataset"/>
    <dimension measure="1" name="Measures" uniqueName="[Measures]" caption="Measures"/>
  </dimensions>
  <measureGroups count="1">
    <measureGroup name="Cleaned Orders Dataset" caption="Cleaned Orders 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584176041666" backgroundQuery="1" createdVersion="8" refreshedVersion="8" minRefreshableVersion="3" recordCount="0" supportSubquery="1" supportAdvancedDrill="1" xr:uid="{1E94E775-1E0D-4A72-81DE-0399C358B496}">
  <cacheSource type="external" connectionId="9"/>
  <cacheFields count="9">
    <cacheField name="[Measures].[Total Gross Revenue]" caption="Total Gross Revenue" numFmtId="0" hierarchy="23" level="32767"/>
    <cacheField name="[Measures].[Total Net Revenue]" caption="Total Net Revenue" numFmtId="0" hierarchy="24" level="32767"/>
    <cacheField name="[Measures].[Total Orders]" caption="Total Orders" numFmtId="0" hierarchy="26" level="32767"/>
    <cacheField name="[Measures].[Total Refund Amount]" caption="Total Refund Amount" numFmtId="0" hierarchy="25" level="32767"/>
    <cacheField name="[Measures].[Refund Rate %]" caption="Refund Rate %" numFmtId="0" hierarchy="27" level="32767"/>
    <cacheField name="[Cleaned Orders Dataset].[Country].[Country]" caption="Country" numFmtId="0" hierarchy="1" level="1">
      <sharedItems containsSemiMixedTypes="0" containsNonDate="0" containsString="0"/>
    </cacheField>
    <cacheField name="[Cleaned Orders Dataset].[Product Name].[Product Name]" caption="Product Name" numFmtId="0" hierarchy="2" level="1">
      <sharedItems containsSemiMixedTypes="0" containsNonDate="0" containsString="0"/>
    </cacheField>
    <cacheField name="[Cleaned Orders Dataset].[Actual Status].[Actual Status]" caption="Actual Status" numFmtId="0" hierarchy="10" level="1">
      <sharedItems containsSemiMixedTypes="0" containsNonDate="0" containsString="0"/>
    </cacheField>
    <cacheField name="[Cleaned Orders Dataset].[Month Name].[Month Name]" caption="Month Name" numFmtId="0" hierarchy="3" level="1">
      <sharedItems containsSemiMixedTypes="0" containsNonDate="0" containsString="0"/>
    </cacheField>
  </cacheFields>
  <cacheHierarchies count="35">
    <cacheHierarchy uniqueName="[Cleaned Orders Dataset].[Customer Name]" caption="Customer Name" attribute="1" defaultMemberUniqueName="[Cleaned Orders Dataset].[Customer Name].[All]" allUniqueName="[Cleaned Orders Dataset].[Customer Name].[All]" dimensionUniqueName="[Cleaned Orders Dataset]" displayFolder="" count="0" memberValueDatatype="130" unbalanced="0"/>
    <cacheHierarchy uniqueName="[Cleaned Orders Dataset].[Country]" caption="Country" attribute="1" defaultMemberUniqueName="[Cleaned Orders Dataset].[Country].[All]" allUniqueName="[Cleaned Orders Dataset].[Country].[All]" dimensionUniqueName="[Cleaned Orders Dataset]" displayFolder="" count="2" memberValueDatatype="130" unbalanced="0">
      <fieldsUsage count="2">
        <fieldUsage x="-1"/>
        <fieldUsage x="5"/>
      </fieldsUsage>
    </cacheHierarchy>
    <cacheHierarchy uniqueName="[Cleaned Orders Dataset].[Product Name]" caption="Product Name" attribute="1" defaultMemberUniqueName="[Cleaned Orders Dataset].[Product Name].[All]" allUniqueName="[Cleaned Orders Dataset].[Product Name].[All]" dimensionUniqueName="[Cleaned Orders Dataset]" displayFolder="" count="2" memberValueDatatype="130" unbalanced="0">
      <fieldsUsage count="2">
        <fieldUsage x="-1"/>
        <fieldUsage x="6"/>
      </fieldsUsage>
    </cacheHierarchy>
    <cacheHierarchy uniqueName="[Cleaned Orders Dataset].[Month Name]" caption="Month Name" attribute="1" defaultMemberUniqueName="[Cleaned Orders Dataset].[Month Name].[All]" allUniqueName="[Cleaned Orders Dataset].[Month Name].[All]" dimensionUniqueName="[Cleaned Orders Dataset]" displayFolder="" count="2" memberValueDatatype="130" unbalanced="0">
      <fieldsUsage count="2">
        <fieldUsage x="-1"/>
        <fieldUsage x="8"/>
      </fieldsUsage>
    </cacheHierarchy>
    <cacheHierarchy uniqueName="[Cleaned Orders Dataset].[Month]" caption="Month" attribute="1" defaultMemberUniqueName="[Cleaned Orders Dataset].[Month].[All]" allUniqueName="[Cleaned Orders Dataset].[Month].[All]" dimensionUniqueName="[Cleaned Orders Dataset]" displayFolder="" count="0" memberValueDatatype="20" unbalanced="0"/>
    <cacheHierarchy uniqueName="[Cleaned Orders Dataset].[Gross Revenue]" caption="Gross Revenue" attribute="1" defaultMemberUniqueName="[Cleaned Orders Dataset].[Gross Revenue].[All]" allUniqueName="[Cleaned Orders Dataset].[Gross Revenue].[All]" dimensionUniqueName="[Cleaned Orders Dataset]" displayFolder="" count="0" memberValueDatatype="5" unbalanced="0"/>
    <cacheHierarchy uniqueName="[Cleaned Orders Dataset].[Amount Paid]" caption="Amount Paid" attribute="1" defaultMemberUniqueName="[Cleaned Orders Dataset].[Amount Paid].[All]" allUniqueName="[Cleaned Orders Dataset].[Amount Paid].[All]" dimensionUniqueName="[Cleaned Orders Dataset]" displayFolder="" count="0" memberValueDatatype="5" unbalanced="0"/>
    <cacheHierarchy uniqueName="[Cleaned Orders Dataset].[Refund Amount]" caption="Refund Amount" attribute="1" defaultMemberUniqueName="[Cleaned Orders Dataset].[Refund Amount].[All]" allUniqueName="[Cleaned Orders Dataset].[Refund Amount].[All]" dimensionUniqueName="[Cleaned Orders Dataset]" displayFolder="" count="0" memberValueDatatype="5" unbalanced="0"/>
    <cacheHierarchy uniqueName="[Cleaned Orders Dataset].[Net Revenue]" caption="Net Revenue" attribute="1" defaultMemberUniqueName="[Cleaned Orders Dataset].[Net Revenue].[All]" allUniqueName="[Cleaned Orders Dataset].[Net Revenue].[All]" dimensionUniqueName="[Cleaned Orders Dataset]" displayFolder="" count="0" memberValueDatatype="5" unbalanced="0"/>
    <cacheHierarchy uniqueName="[Cleaned Orders Dataset].[Payment Delay (Days)]" caption="Payment Delay (Days)" attribute="1" defaultMemberUniqueName="[Cleaned Orders Dataset].[Payment Delay (Days)].[All]" allUniqueName="[Cleaned Orders Dataset].[Payment Delay (Days)].[All]" dimensionUniqueName="[Cleaned Orders Dataset]" displayFolder="" count="0" memberValueDatatype="20" unbalanced="0"/>
    <cacheHierarchy uniqueName="[Cleaned Orders Dataset].[Actual Status]" caption="Actual Status" attribute="1" defaultMemberUniqueName="[Cleaned Orders Dataset].[Actual Status].[All]" allUniqueName="[Cleaned Orders Dataset].[Actual Status].[All]" dimensionUniqueName="[Cleaned Orders Dataset]" displayFolder="" count="2" memberValueDatatype="130" unbalanced="0">
      <fieldsUsage count="2">
        <fieldUsage x="-1"/>
        <fieldUsage x="7"/>
      </fieldsUsage>
    </cacheHierarchy>
    <cacheHierarchy uniqueName="[Cleaned Orders Dataset].[Refund Reason]" caption="Refund Reason" attribute="1" defaultMemberUniqueName="[Cleaned Orders Dataset].[Refund Reason].[All]" allUniqueName="[Cleaned Orders Dataset].[Refund Reason].[All]" dimensionUniqueName="[Cleaned Orders Dataset]" displayFolder="" count="0" memberValueDatatype="130" unbalanced="0"/>
    <cacheHierarchy uniqueName="[Cleaned Orders Dataset].[Overdue Range]" caption="Overdue Range" attribute="1" defaultMemberUniqueName="[Cleaned Orders Dataset].[Overdue Range].[All]" allUniqueName="[Cleaned Orders Dataset].[Overdue Range].[All]" dimensionUniqueName="[Cleaned Orders Dataset]" displayFolder="" count="0" memberValueDatatype="130" unbalanced="0"/>
    <cacheHierarchy uniqueName="[Cleaned Orders Dataset].[Email]" caption="Email" attribute="1" defaultMemberUniqueName="[Cleaned Orders Dataset].[Email].[All]" allUniqueName="[Cleaned Orders Dataset].[Email].[All]" dimensionUniqueName="[Cleaned Orders Dataset]" displayFolder="" count="0" memberValueDatatype="130" unbalanced="0" hidden="1"/>
    <cacheHierarchy uniqueName="[Cleaned Orders Dataset].[Order Date]" caption="Order Date" attribute="1" time="1" defaultMemberUniqueName="[Cleaned Orders Dataset].[Order Date].[All]" allUniqueName="[Cleaned Orders Dataset].[Order Date].[All]" dimensionUniqueName="[Cleaned Orders Dataset]" displayFolder="" count="0" memberValueDatatype="7" unbalanced="0" hidden="1"/>
    <cacheHierarchy uniqueName="[Cleaned Orders Dataset].[Order ID]" caption="Order ID" attribute="1" defaultMemberUniqueName="[Cleaned Orders Dataset].[Order ID].[All]" allUniqueName="[Cleaned Orders Dataset].[Order ID].[All]" dimensionUniqueName="[Cleaned Orders Dataset]" displayFolder="" count="0" memberValueDatatype="130" unbalanced="0" hidden="1"/>
    <cacheHierarchy uniqueName="[Cleaned Orders Dataset].[Payment Date]" caption="Payment Date" attribute="1" time="1" defaultMemberUniqueName="[Cleaned Orders Dataset].[Payment Date].[All]" allUniqueName="[Cleaned Orders Dataset].[Payment Date].[All]" dimensionUniqueName="[Cleaned Orders Dataset]" displayFolder="" count="0" memberValueDatatype="7" unbalanced="0" hidden="1"/>
    <cacheHierarchy uniqueName="[Cleaned Orders Dataset].[Price]" caption="Price" attribute="1" defaultMemberUniqueName="[Cleaned Orders Dataset].[Price].[All]" allUniqueName="[Cleaned Orders Dataset].[Price].[All]" dimensionUniqueName="[Cleaned Orders Dataset]" displayFolder="" count="0" memberValueDatatype="5" unbalanced="0" hidden="1"/>
    <cacheHierarchy uniqueName="[Cleaned Orders Dataset].[Quantity]" caption="Quantity" attribute="1" defaultMemberUniqueName="[Cleaned Orders Dataset].[Quantity].[All]" allUniqueName="[Cleaned Orders Dataset].[Quantity].[All]" dimensionUniqueName="[Cleaned Orders Dataset]" displayFolder="" count="0" memberValueDatatype="20" unbalanced="0" hidden="1"/>
    <cacheHierarchy uniqueName="[Cleaned Orders Dataset].[Reported Status]" caption="Reported Status" attribute="1" defaultMemberUniqueName="[Cleaned Orders Dataset].[Reported Status].[All]" allUniqueName="[Cleaned Orders Dataset].[Reported Status].[All]" dimensionUniqueName="[Cleaned Orders Dataset]" displayFolder="" count="0" memberValueDatatype="130" unbalanced="0" hidden="1"/>
    <cacheHierarchy uniqueName="[Cleaned Orders Dataset].[Shipping Date]" caption="Shipping Date" attribute="1" time="1" defaultMemberUniqueName="[Cleaned Orders Dataset].[Shipping Date].[All]" allUniqueName="[Cleaned Orders Dataset].[Shipping Date].[All]" dimensionUniqueName="[Cleaned Orders Dataset]" displayFolder="" count="0" memberValueDatatype="7" unbalanced="0" hidden="1"/>
    <cacheHierarchy uniqueName="[Cleaned Orders Dataset].[Year]" caption="Year" attribute="1" defaultMemberUniqueName="[Cleaned Orders Dataset].[Year].[All]" allUniqueName="[Cleaned Orders Dataset].[Year].[All]" dimensionUniqueName="[Cleaned Orders Dataset]" displayFolder="" count="0" memberValueDatatype="20" unbalanced="0" hidden="1"/>
    <cacheHierarchy uniqueName="[Cleaned Orders Dataset].[Year-Month]" caption="Year-Month" attribute="1" defaultMemberUniqueName="[Cleaned Orders Dataset].[Year-Month].[All]" allUniqueName="[Cleaned Orders Dataset].[Year-Month].[All]" dimensionUniqueName="[Cleaned Orders Dataset]" displayFolder="" count="0" memberValueDatatype="130" unbalanced="0" hidden="1"/>
    <cacheHierarchy uniqueName="[Measures].[Total Gross Revenue]" caption="Total Gross Revenue" measure="1" displayFolder="" measureGroup="Cleaned Orders Dataset" count="0" oneField="1">
      <fieldsUsage count="1">
        <fieldUsage x="0"/>
      </fieldsUsage>
    </cacheHierarchy>
    <cacheHierarchy uniqueName="[Measures].[Total Net Revenue]" caption="Total Net Revenue" measure="1" displayFolder="" measureGroup="Cleaned Orders Dataset" count="0" oneField="1">
      <fieldsUsage count="1">
        <fieldUsage x="1"/>
      </fieldsUsage>
    </cacheHierarchy>
    <cacheHierarchy uniqueName="[Measures].[Total Refund Amount]" caption="Total Refund Amount" measure="1" displayFolder="" measureGroup="Cleaned Orders Dataset" count="0" oneField="1">
      <fieldsUsage count="1">
        <fieldUsage x="3"/>
      </fieldsUsage>
    </cacheHierarchy>
    <cacheHierarchy uniqueName="[Measures].[Total Orders]" caption="Total Orders" measure="1" displayFolder="" measureGroup="Cleaned Orders Dataset" count="0" oneField="1">
      <fieldsUsage count="1">
        <fieldUsage x="2"/>
      </fieldsUsage>
    </cacheHierarchy>
    <cacheHierarchy uniqueName="[Measures].[Refund Rate %]" caption="Refund Rate %" measure="1" displayFolder="" measureGroup="Cleaned Orders Dataset" count="0" oneField="1">
      <fieldsUsage count="1">
        <fieldUsage x="4"/>
      </fieldsUsage>
    </cacheHierarchy>
    <cacheHierarchy uniqueName="[Measures].[Data Accuracy %]" caption="Data Accuracy %" measure="1" displayFolder="" measureGroup="Cleaned Orders Dataset" count="0"/>
    <cacheHierarchy uniqueName="[Measures].[Average Payment Delay]" caption="Average Payment Delay" measure="1" displayFolder="" measureGroup="Cleaned Orders Dataset" count="0"/>
    <cacheHierarchy uniqueName="[Measures].[__XL_Count Cleaned Orders Dataset]" caption="__XL_Count Cleaned Orders Dataset" measure="1" displayFolder="" measureGroup="Cleaned Orders Dataset" count="0" hidden="1"/>
    <cacheHierarchy uniqueName="[Measures].[__No measures defined]" caption="__No measures defined" measure="1" displayFolder="" count="0" hidden="1"/>
    <cacheHierarchy uniqueName="[Measures].[Sum of Gross Revenue]" caption="Sum of Gross Revenue" measure="1" displayFolder="" measureGroup="Cleaned Orders Datase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ed Orders Dataset" count="0" hidden="1">
      <extLst>
        <ext xmlns:x15="http://schemas.microsoft.com/office/spreadsheetml/2010/11/main" uri="{B97F6D7D-B522-45F9-BDA1-12C45D357490}">
          <x15:cacheHierarchy aggregatedColumn="17"/>
        </ext>
      </extLst>
    </cacheHierarchy>
    <cacheHierarchy uniqueName="[Measures].[Sum of Net Revenue]" caption="Sum of Net Revenue" measure="1" displayFolder="" measureGroup="Cleaned Orders Dataset" count="0" hidden="1">
      <extLst>
        <ext xmlns:x15="http://schemas.microsoft.com/office/spreadsheetml/2010/11/main" uri="{B97F6D7D-B522-45F9-BDA1-12C45D357490}">
          <x15:cacheHierarchy aggregatedColumn="8"/>
        </ext>
      </extLst>
    </cacheHierarchy>
  </cacheHierarchies>
  <kpis count="0"/>
  <dimensions count="2">
    <dimension name="Cleaned Orders Dataset" uniqueName="[Cleaned Orders Dataset]" caption="Cleaned Orders Dataset"/>
    <dimension measure="1" name="Measures" uniqueName="[Measures]" caption="Measures"/>
  </dimensions>
  <measureGroups count="1">
    <measureGroup name="Cleaned Orders Dataset" caption="Cleaned Orders 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584168865738" backgroundQuery="1" createdVersion="3" refreshedVersion="8" minRefreshableVersion="3" recordCount="0" supportSubquery="1" supportAdvancedDrill="1" xr:uid="{B6230D10-3F25-4D07-918E-CDA062954F18}">
  <cacheSource type="external" connectionId="9">
    <extLst>
      <ext xmlns:x14="http://schemas.microsoft.com/office/spreadsheetml/2009/9/main" uri="{F057638F-6D5F-4e77-A914-E7F072B9BCA8}">
        <x14:sourceConnection name="ThisWorkbookDataModel"/>
      </ext>
    </extLst>
  </cacheSource>
  <cacheFields count="0"/>
  <cacheHierarchies count="35">
    <cacheHierarchy uniqueName="[Cleaned Orders Dataset].[Customer Name]" caption="Customer Name" attribute="1" defaultMemberUniqueName="[Cleaned Orders Dataset].[Customer Name].[All]" allUniqueName="[Cleaned Orders Dataset].[Customer Name].[All]" dimensionUniqueName="[Cleaned Orders Dataset]" displayFolder="" count="0" memberValueDatatype="130" unbalanced="0"/>
    <cacheHierarchy uniqueName="[Cleaned Orders Dataset].[Country]" caption="Country" attribute="1" defaultMemberUniqueName="[Cleaned Orders Dataset].[Country].[All]" allUniqueName="[Cleaned Orders Dataset].[Country].[All]" dimensionUniqueName="[Cleaned Orders Dataset]" displayFolder="" count="2" memberValueDatatype="130" unbalanced="0"/>
    <cacheHierarchy uniqueName="[Cleaned Orders Dataset].[Product Name]" caption="Product Name" attribute="1" defaultMemberUniqueName="[Cleaned Orders Dataset].[Product Name].[All]" allUniqueName="[Cleaned Orders Dataset].[Product Name].[All]" dimensionUniqueName="[Cleaned Orders Dataset]" displayFolder="" count="2" memberValueDatatype="130" unbalanced="0"/>
    <cacheHierarchy uniqueName="[Cleaned Orders Dataset].[Month Name]" caption="Month Name" attribute="1" defaultMemberUniqueName="[Cleaned Orders Dataset].[Month Name].[All]" allUniqueName="[Cleaned Orders Dataset].[Month Name].[All]" dimensionUniqueName="[Cleaned Orders Dataset]" displayFolder="" count="2" memberValueDatatype="130" unbalanced="0"/>
    <cacheHierarchy uniqueName="[Cleaned Orders Dataset].[Month]" caption="Month" attribute="1" defaultMemberUniqueName="[Cleaned Orders Dataset].[Month].[All]" allUniqueName="[Cleaned Orders Dataset].[Month].[All]" dimensionUniqueName="[Cleaned Orders Dataset]" displayFolder="" count="0" memberValueDatatype="20" unbalanced="0"/>
    <cacheHierarchy uniqueName="[Cleaned Orders Dataset].[Gross Revenue]" caption="Gross Revenue" attribute="1" defaultMemberUniqueName="[Cleaned Orders Dataset].[Gross Revenue].[All]" allUniqueName="[Cleaned Orders Dataset].[Gross Revenue].[All]" dimensionUniqueName="[Cleaned Orders Dataset]" displayFolder="" count="0" memberValueDatatype="5" unbalanced="0"/>
    <cacheHierarchy uniqueName="[Cleaned Orders Dataset].[Amount Paid]" caption="Amount Paid" attribute="1" defaultMemberUniqueName="[Cleaned Orders Dataset].[Amount Paid].[All]" allUniqueName="[Cleaned Orders Dataset].[Amount Paid].[All]" dimensionUniqueName="[Cleaned Orders Dataset]" displayFolder="" count="0" memberValueDatatype="5" unbalanced="0"/>
    <cacheHierarchy uniqueName="[Cleaned Orders Dataset].[Refund Amount]" caption="Refund Amount" attribute="1" defaultMemberUniqueName="[Cleaned Orders Dataset].[Refund Amount].[All]" allUniqueName="[Cleaned Orders Dataset].[Refund Amount].[All]" dimensionUniqueName="[Cleaned Orders Dataset]" displayFolder="" count="0" memberValueDatatype="5" unbalanced="0"/>
    <cacheHierarchy uniqueName="[Cleaned Orders Dataset].[Net Revenue]" caption="Net Revenue" attribute="1" defaultMemberUniqueName="[Cleaned Orders Dataset].[Net Revenue].[All]" allUniqueName="[Cleaned Orders Dataset].[Net Revenue].[All]" dimensionUniqueName="[Cleaned Orders Dataset]" displayFolder="" count="0" memberValueDatatype="5" unbalanced="0"/>
    <cacheHierarchy uniqueName="[Cleaned Orders Dataset].[Payment Delay (Days)]" caption="Payment Delay (Days)" attribute="1" defaultMemberUniqueName="[Cleaned Orders Dataset].[Payment Delay (Days)].[All]" allUniqueName="[Cleaned Orders Dataset].[Payment Delay (Days)].[All]" dimensionUniqueName="[Cleaned Orders Dataset]" displayFolder="" count="0" memberValueDatatype="20" unbalanced="0"/>
    <cacheHierarchy uniqueName="[Cleaned Orders Dataset].[Actual Status]" caption="Actual Status" attribute="1" defaultMemberUniqueName="[Cleaned Orders Dataset].[Actual Status].[All]" allUniqueName="[Cleaned Orders Dataset].[Actual Status].[All]" dimensionUniqueName="[Cleaned Orders Dataset]" displayFolder="" count="2" memberValueDatatype="130" unbalanced="0"/>
    <cacheHierarchy uniqueName="[Cleaned Orders Dataset].[Refund Reason]" caption="Refund Reason" attribute="1" defaultMemberUniqueName="[Cleaned Orders Dataset].[Refund Reason].[All]" allUniqueName="[Cleaned Orders Dataset].[Refund Reason].[All]" dimensionUniqueName="[Cleaned Orders Dataset]" displayFolder="" count="0" memberValueDatatype="130" unbalanced="0"/>
    <cacheHierarchy uniqueName="[Cleaned Orders Dataset].[Overdue Range]" caption="Overdue Range" attribute="1" defaultMemberUniqueName="[Cleaned Orders Dataset].[Overdue Range].[All]" allUniqueName="[Cleaned Orders Dataset].[Overdue Range].[All]" dimensionUniqueName="[Cleaned Orders Dataset]" displayFolder="" count="0" memberValueDatatype="130" unbalanced="0"/>
    <cacheHierarchy uniqueName="[Cleaned Orders Dataset].[Email]" caption="Email" attribute="1" defaultMemberUniqueName="[Cleaned Orders Dataset].[Email].[All]" allUniqueName="[Cleaned Orders Dataset].[Email].[All]" dimensionUniqueName="[Cleaned Orders Dataset]" displayFolder="" count="0" memberValueDatatype="130" unbalanced="0" hidden="1"/>
    <cacheHierarchy uniqueName="[Cleaned Orders Dataset].[Order Date]" caption="Order Date" attribute="1" time="1" defaultMemberUniqueName="[Cleaned Orders Dataset].[Order Date].[All]" allUniqueName="[Cleaned Orders Dataset].[Order Date].[All]" dimensionUniqueName="[Cleaned Orders Dataset]" displayFolder="" count="0" memberValueDatatype="7" unbalanced="0" hidden="1"/>
    <cacheHierarchy uniqueName="[Cleaned Orders Dataset].[Order ID]" caption="Order ID" attribute="1" defaultMemberUniqueName="[Cleaned Orders Dataset].[Order ID].[All]" allUniqueName="[Cleaned Orders Dataset].[Order ID].[All]" dimensionUniqueName="[Cleaned Orders Dataset]" displayFolder="" count="0" memberValueDatatype="130" unbalanced="0" hidden="1"/>
    <cacheHierarchy uniqueName="[Cleaned Orders Dataset].[Payment Date]" caption="Payment Date" attribute="1" time="1" defaultMemberUniqueName="[Cleaned Orders Dataset].[Payment Date].[All]" allUniqueName="[Cleaned Orders Dataset].[Payment Date].[All]" dimensionUniqueName="[Cleaned Orders Dataset]" displayFolder="" count="0" memberValueDatatype="7" unbalanced="0" hidden="1"/>
    <cacheHierarchy uniqueName="[Cleaned Orders Dataset].[Price]" caption="Price" attribute="1" defaultMemberUniqueName="[Cleaned Orders Dataset].[Price].[All]" allUniqueName="[Cleaned Orders Dataset].[Price].[All]" dimensionUniqueName="[Cleaned Orders Dataset]" displayFolder="" count="0" memberValueDatatype="5" unbalanced="0" hidden="1"/>
    <cacheHierarchy uniqueName="[Cleaned Orders Dataset].[Quantity]" caption="Quantity" attribute="1" defaultMemberUniqueName="[Cleaned Orders Dataset].[Quantity].[All]" allUniqueName="[Cleaned Orders Dataset].[Quantity].[All]" dimensionUniqueName="[Cleaned Orders Dataset]" displayFolder="" count="0" memberValueDatatype="20" unbalanced="0" hidden="1"/>
    <cacheHierarchy uniqueName="[Cleaned Orders Dataset].[Reported Status]" caption="Reported Status" attribute="1" defaultMemberUniqueName="[Cleaned Orders Dataset].[Reported Status].[All]" allUniqueName="[Cleaned Orders Dataset].[Reported Status].[All]" dimensionUniqueName="[Cleaned Orders Dataset]" displayFolder="" count="0" memberValueDatatype="130" unbalanced="0" hidden="1"/>
    <cacheHierarchy uniqueName="[Cleaned Orders Dataset].[Shipping Date]" caption="Shipping Date" attribute="1" time="1" defaultMemberUniqueName="[Cleaned Orders Dataset].[Shipping Date].[All]" allUniqueName="[Cleaned Orders Dataset].[Shipping Date].[All]" dimensionUniqueName="[Cleaned Orders Dataset]" displayFolder="" count="0" memberValueDatatype="7" unbalanced="0" hidden="1"/>
    <cacheHierarchy uniqueName="[Cleaned Orders Dataset].[Year]" caption="Year" attribute="1" defaultMemberUniqueName="[Cleaned Orders Dataset].[Year].[All]" allUniqueName="[Cleaned Orders Dataset].[Year].[All]" dimensionUniqueName="[Cleaned Orders Dataset]" displayFolder="" count="0" memberValueDatatype="20" unbalanced="0" hidden="1"/>
    <cacheHierarchy uniqueName="[Cleaned Orders Dataset].[Year-Month]" caption="Year-Month" attribute="1" defaultMemberUniqueName="[Cleaned Orders Dataset].[Year-Month].[All]" allUniqueName="[Cleaned Orders Dataset].[Year-Month].[All]" dimensionUniqueName="[Cleaned Orders Dataset]" displayFolder="" count="0" memberValueDatatype="130" unbalanced="0" hidden="1"/>
    <cacheHierarchy uniqueName="[Measures].[Total Gross Revenue]" caption="Total Gross Revenue" measure="1" displayFolder="" measureGroup="Cleaned Orders Dataset" count="0"/>
    <cacheHierarchy uniqueName="[Measures].[Total Net Revenue]" caption="Total Net Revenue" measure="1" displayFolder="" measureGroup="Cleaned Orders Dataset" count="0"/>
    <cacheHierarchy uniqueName="[Measures].[Total Refund Amount]" caption="Total Refund Amount" measure="1" displayFolder="" measureGroup="Cleaned Orders Dataset" count="0"/>
    <cacheHierarchy uniqueName="[Measures].[Total Orders]" caption="Total Orders" measure="1" displayFolder="" measureGroup="Cleaned Orders Dataset" count="0"/>
    <cacheHierarchy uniqueName="[Measures].[Refund Rate %]" caption="Refund Rate %" measure="1" displayFolder="" measureGroup="Cleaned Orders Dataset" count="0"/>
    <cacheHierarchy uniqueName="[Measures].[Data Accuracy %]" caption="Data Accuracy %" measure="1" displayFolder="" measureGroup="Cleaned Orders Dataset" count="0"/>
    <cacheHierarchy uniqueName="[Measures].[Average Payment Delay]" caption="Average Payment Delay" measure="1" displayFolder="" measureGroup="Cleaned Orders Dataset" count="0"/>
    <cacheHierarchy uniqueName="[Measures].[__XL_Count Cleaned Orders Dataset]" caption="__XL_Count Cleaned Orders Dataset" measure="1" displayFolder="" measureGroup="Cleaned Orders Dataset" count="0" hidden="1"/>
    <cacheHierarchy uniqueName="[Measures].[__No measures defined]" caption="__No measures defined" measure="1" displayFolder="" count="0" hidden="1"/>
    <cacheHierarchy uniqueName="[Measures].[Sum of Gross Revenue]" caption="Sum of Gross Revenue" measure="1" displayFolder="" measureGroup="Cleaned Orders Datase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ed Orders Dataset" count="0" hidden="1">
      <extLst>
        <ext xmlns:x15="http://schemas.microsoft.com/office/spreadsheetml/2010/11/main" uri="{B97F6D7D-B522-45F9-BDA1-12C45D357490}">
          <x15:cacheHierarchy aggregatedColumn="17"/>
        </ext>
      </extLst>
    </cacheHierarchy>
    <cacheHierarchy uniqueName="[Measures].[Sum of Net Revenue]" caption="Sum of Net Revenue" measure="1" displayFolder="" measureGroup="Cleaned Orders Dataset"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4939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3C6981-D678-4B87-A48E-DAA4EBAD9514}" name="Payment Delays" cacheId="3" applyNumberFormats="0" applyBorderFormats="0" applyFontFormats="0" applyPatternFormats="0" applyAlignmentFormats="0" applyWidthHeightFormats="1" dataCaption="Values" tag="82c15e19-ccb6-4b1e-a6ca-f5ba45733eb5" updatedVersion="8" minRefreshableVersion="3" itemPrintTitles="1" createdVersion="8" indent="0" compact="0" compactData="0" multipleFieldFilters="0">
  <location ref="J4:J5" firstHeaderRow="1" firstDataRow="1" firstDataCol="0"/>
  <pivotFields count="5">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s>
  <rowItems count="1">
    <i/>
  </rowItems>
  <colItems count="1">
    <i/>
  </colItems>
  <dataFields count="1">
    <dataField fld="0" subtotal="count" baseField="0" baseItem="0"/>
  </dataFields>
  <formats count="26">
    <format dxfId="37">
      <pivotArea type="all" dataOnly="0" outline="0" fieldPosition="0"/>
    </format>
    <format dxfId="36">
      <pivotArea outline="0" collapsedLevelsAreSubtotals="1" fieldPosition="0"/>
    </format>
    <format dxfId="35">
      <pivotArea dataOnly="0" labelOnly="1" outline="0" fieldPosition="0">
        <references count="1">
          <reference field="4294967294" count="1">
            <x v="0"/>
          </reference>
        </references>
      </pivotArea>
    </format>
    <format dxfId="34">
      <pivotArea type="all" dataOnly="0" outline="0" fieldPosition="0"/>
    </format>
    <format dxfId="33">
      <pivotArea outline="0" collapsedLevelsAreSubtotals="1" fieldPosition="0"/>
    </format>
    <format dxfId="32">
      <pivotArea dataOnly="0" labelOnly="1" outline="0" fieldPosition="0">
        <references count="1">
          <reference field="4294967294" count="1">
            <x v="0"/>
          </reference>
        </references>
      </pivotArea>
    </format>
    <format dxfId="31">
      <pivotArea type="all" dataOnly="0" outline="0" fieldPosition="0"/>
    </format>
    <format dxfId="30">
      <pivotArea outline="0" collapsedLevelsAreSubtotals="1" fieldPosition="0"/>
    </format>
    <format dxfId="29">
      <pivotArea dataOnly="0" labelOnly="1" outline="0" fieldPosition="0">
        <references count="1">
          <reference field="4294967294" count="1">
            <x v="0"/>
          </reference>
        </references>
      </pivotArea>
    </format>
    <format dxfId="28">
      <pivotArea type="all" dataOnly="0" outline="0" fieldPosition="0"/>
    </format>
    <format dxfId="27">
      <pivotArea outline="0" collapsedLevelsAreSubtotals="1" fieldPosition="0"/>
    </format>
    <format dxfId="26">
      <pivotArea dataOnly="0" labelOnly="1" outline="0" fieldPosition="0">
        <references count="1">
          <reference field="4294967294" count="1">
            <x v="0"/>
          </reference>
        </references>
      </pivotArea>
    </format>
    <format dxfId="25">
      <pivotArea type="all" dataOnly="0" outline="0" fieldPosition="0"/>
    </format>
    <format dxfId="24">
      <pivotArea outline="0" collapsedLevelsAreSubtotals="1" fieldPosition="0"/>
    </format>
    <format dxfId="23">
      <pivotArea dataOnly="0" labelOnly="1" outline="0" fieldPosition="0">
        <references count="1">
          <reference field="4294967294" count="1">
            <x v="0"/>
          </reference>
        </references>
      </pivotArea>
    </format>
    <format dxfId="22">
      <pivotArea dataOnly="0" labelOnly="1" outline="0" fieldPosition="0">
        <references count="1">
          <reference field="4294967294" count="1">
            <x v="0"/>
          </reference>
        </references>
      </pivotArea>
    </format>
    <format dxfId="21">
      <pivotArea outline="0" collapsedLevelsAreSubtotals="1" fieldPosition="0"/>
    </format>
    <format dxfId="20">
      <pivotArea outline="0" fieldPosition="0">
        <references count="1">
          <reference field="4294967294" count="1" selected="0">
            <x v="0"/>
          </reference>
        </references>
      </pivotArea>
    </format>
    <format dxfId="19">
      <pivotArea dataOnly="0" labelOnly="1" outline="0" fieldPosition="0">
        <references count="1">
          <reference field="4294967294" count="1">
            <x v="0"/>
          </reference>
        </references>
      </pivotArea>
    </format>
    <format dxfId="18">
      <pivotArea type="all" dataOnly="0" outline="0" fieldPosition="0"/>
    </format>
    <format dxfId="17">
      <pivotArea outline="0" collapsedLevelsAreSubtotals="1" fieldPosition="0"/>
    </format>
    <format dxfId="16">
      <pivotArea dataOnly="0" labelOnly="1" outline="0" fieldPosition="0">
        <references count="1">
          <reference field="4294967294" count="1">
            <x v="0"/>
          </reference>
        </references>
      </pivotArea>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35">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Orders Dataset]"/>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DD0711-DCFB-465E-A59C-A1555F3C05D8}" name="Business Metrics" cacheId="5" applyNumberFormats="0" applyBorderFormats="0" applyFontFormats="0" applyPatternFormats="0" applyAlignmentFormats="0" applyWidthHeightFormats="1" dataCaption="Values" tag="4b4f8903-b663-4d9b-ba53-55dc3a5d2bc5" updatedVersion="8" minRefreshableVersion="3" useAutoFormatting="1" subtotalHiddenItems="1" itemPrintTitles="1" createdVersion="8" indent="0" compact="0" compactData="0" multipleFieldFilters="0">
  <location ref="D4:H5" firstHeaderRow="0" firstDataRow="1" firstDataCol="0"/>
  <pivotFields count="9">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3" subtotal="count" baseField="0" baseItem="0"/>
    <dataField fld="2" subtotal="count" baseField="0" baseItem="0"/>
    <dataField fld="4" subtotal="count" baseField="0" baseItem="0"/>
  </dataFields>
  <formats count="30">
    <format dxfId="67">
      <pivotArea type="all" dataOnly="0" outline="0" fieldPosition="0"/>
    </format>
    <format dxfId="66">
      <pivotArea outline="0" collapsedLevelsAreSubtotals="1" fieldPosition="0"/>
    </format>
    <format dxfId="65">
      <pivotArea dataOnly="0" labelOnly="1" outline="0" fieldPosition="0">
        <references count="1">
          <reference field="4294967294" count="3">
            <x v="0"/>
            <x v="1"/>
            <x v="3"/>
          </reference>
        </references>
      </pivotArea>
    </format>
    <format dxfId="64">
      <pivotArea type="all" dataOnly="0" outline="0" fieldPosition="0"/>
    </format>
    <format dxfId="63">
      <pivotArea outline="0" collapsedLevelsAreSubtotals="1" fieldPosition="0"/>
    </format>
    <format dxfId="62">
      <pivotArea dataOnly="0" labelOnly="1" outline="0" fieldPosition="0">
        <references count="1">
          <reference field="4294967294" count="3">
            <x v="0"/>
            <x v="1"/>
            <x v="3"/>
          </reference>
        </references>
      </pivotArea>
    </format>
    <format dxfId="61">
      <pivotArea type="all" dataOnly="0" outline="0" fieldPosition="0"/>
    </format>
    <format dxfId="60">
      <pivotArea outline="0" collapsedLevelsAreSubtotals="1" fieldPosition="0"/>
    </format>
    <format dxfId="59">
      <pivotArea dataOnly="0" labelOnly="1" outline="0" fieldPosition="0">
        <references count="1">
          <reference field="4294967294" count="3">
            <x v="0"/>
            <x v="1"/>
            <x v="3"/>
          </reference>
        </references>
      </pivotArea>
    </format>
    <format dxfId="58">
      <pivotArea type="all" dataOnly="0" outline="0" fieldPosition="0"/>
    </format>
    <format dxfId="57">
      <pivotArea dataOnly="0" labelOnly="1" outline="0" fieldPosition="0">
        <references count="1">
          <reference field="4294967294" count="3">
            <x v="0"/>
            <x v="1"/>
            <x v="3"/>
          </reference>
        </references>
      </pivotArea>
    </format>
    <format dxfId="56">
      <pivotArea outline="0" collapsedLevelsAreSubtotals="1" fieldPosition="0"/>
    </format>
    <format dxfId="55">
      <pivotArea type="all" dataOnly="0" outline="0" fieldPosition="0"/>
    </format>
    <format dxfId="54">
      <pivotArea dataOnly="0" labelOnly="1" outline="0" fieldPosition="0">
        <references count="1">
          <reference field="4294967294" count="3">
            <x v="0"/>
            <x v="1"/>
            <x v="3"/>
          </reference>
        </references>
      </pivotArea>
    </format>
    <format dxfId="53">
      <pivotArea outline="0" fieldPosition="0">
        <references count="1">
          <reference field="4294967294" count="1" selected="0">
            <x v="0"/>
          </reference>
        </references>
      </pivotArea>
    </format>
    <format dxfId="52">
      <pivotArea dataOnly="0" labelOnly="1" outline="0" fieldPosition="0">
        <references count="1">
          <reference field="4294967294" count="1">
            <x v="0"/>
          </reference>
        </references>
      </pivotArea>
    </format>
    <format dxfId="51">
      <pivotArea outline="0" fieldPosition="0">
        <references count="1">
          <reference field="4294967294" count="1" selected="0">
            <x v="1"/>
          </reference>
        </references>
      </pivotArea>
    </format>
    <format dxfId="50">
      <pivotArea dataOnly="0" labelOnly="1" outline="0" fieldPosition="0">
        <references count="1">
          <reference field="4294967294" count="1">
            <x v="1"/>
          </reference>
        </references>
      </pivotArea>
    </format>
    <format dxfId="49">
      <pivotArea outline="0" fieldPosition="0">
        <references count="1">
          <reference field="4294967294" count="1" selected="0">
            <x v="3"/>
          </reference>
        </references>
      </pivotArea>
    </format>
    <format dxfId="48">
      <pivotArea dataOnly="0" labelOnly="1" outline="0" fieldPosition="0">
        <references count="1">
          <reference field="4294967294" count="1">
            <x v="3"/>
          </reference>
        </references>
      </pivotArea>
    </format>
    <format dxfId="47">
      <pivotArea type="all" dataOnly="0" outline="0" fieldPosition="0"/>
    </format>
    <format dxfId="46">
      <pivotArea outline="0" collapsedLevelsAreSubtotals="1" fieldPosition="0"/>
    </format>
    <format dxfId="45">
      <pivotArea dataOnly="0" labelOnly="1" outline="0" fieldPosition="0">
        <references count="1">
          <reference field="4294967294" count="3">
            <x v="0"/>
            <x v="1"/>
            <x v="3"/>
          </reference>
        </references>
      </pivotArea>
    </format>
    <format dxfId="44">
      <pivotArea dataOnly="0" outline="0" fieldPosition="0">
        <references count="1">
          <reference field="4294967294" count="1">
            <x v="2"/>
          </reference>
        </references>
      </pivotArea>
    </format>
    <format dxfId="43">
      <pivotArea outline="0" fieldPosition="0">
        <references count="1">
          <reference field="4294967294" count="1" selected="0">
            <x v="4"/>
          </reference>
        </references>
      </pivotArea>
    </format>
    <format dxfId="42">
      <pivotArea dataOnly="0" labelOnly="1" outline="0" fieldPosition="0">
        <references count="1">
          <reference field="4294967294" count="1">
            <x v="4"/>
          </reference>
        </references>
      </pivotArea>
    </format>
    <format dxfId="41">
      <pivotArea dataOnly="0" labelOnly="1" outline="0" fieldPosition="0">
        <references count="1">
          <reference field="4294967294" count="1">
            <x v="2"/>
          </reference>
        </references>
      </pivotArea>
    </format>
    <format dxfId="40">
      <pivotArea dataOnly="0" labelOnly="1" outline="0" fieldPosition="0">
        <references count="1">
          <reference field="4294967294" count="1">
            <x v="4"/>
          </reference>
        </references>
      </pivotArea>
    </format>
    <format dxfId="39">
      <pivotArea dataOnly="0" labelOnly="1" outline="0" fieldPosition="0">
        <references count="1">
          <reference field="4294967294" count="1">
            <x v="2"/>
          </reference>
        </references>
      </pivotArea>
    </format>
    <format dxfId="38">
      <pivotArea dataOnly="0" labelOnly="1" outline="0" fieldPosition="0">
        <references count="1">
          <reference field="4294967294" count="1">
            <x v="4"/>
          </reference>
        </references>
      </pivotArea>
    </format>
  </formats>
  <pivotHierarchies count="35">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Orders Dataset]"/>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EB825B-A75E-4B31-B60F-A2E4579CE00D}" name="Revenue by Country" cacheId="1" applyNumberFormats="0" applyBorderFormats="0" applyFontFormats="0" applyPatternFormats="0" applyAlignmentFormats="0" applyWidthHeightFormats="1" dataCaption="Values" tag="485a18e6-d37e-4aec-a01e-371401168975" updatedVersion="8" minRefreshableVersion="3" useAutoFormatting="1" subtotalHiddenItems="1" itemPrintTitles="1" createdVersion="8" indent="0" compact="0" compactData="0" multipleFieldFilters="0" chartFormat="10">
  <location ref="E15:F19" firstHeaderRow="1" firstDataRow="1" firstDataCol="1"/>
  <pivotFields count="5">
    <pivotField axis="axisRow" compact="0" allDrilled="1" outline="0" subtotalTop="0"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s>
  <rowFields count="1">
    <field x="0"/>
  </rowFields>
  <rowItems count="4">
    <i>
      <x v="2"/>
    </i>
    <i>
      <x v="1"/>
    </i>
    <i>
      <x/>
    </i>
    <i t="grand">
      <x/>
    </i>
  </rowItems>
  <colItems count="1">
    <i/>
  </colItems>
  <dataFields count="1">
    <dataField fld="1" subtotal="count" baseField="0" baseItem="0"/>
  </dataFields>
  <formats count="2">
    <format dxfId="3">
      <pivotArea field="0" type="button" dataOnly="0" labelOnly="1" outline="0" axis="axisRow" fieldPosition="0"/>
    </format>
    <format dxfId="2">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2"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Orders Dataset]"/>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16745C-CD75-42B3-B44D-C85E8E35D6FC}" name="Refund Report" cacheId="0" applyNumberFormats="0" applyBorderFormats="0" applyFontFormats="0" applyPatternFormats="0" applyAlignmentFormats="0" applyWidthHeightFormats="1" dataCaption="Values" tag="a4808476-c232-4b94-8497-5dd7f962eee9" updatedVersion="8" minRefreshableVersion="3" useAutoFormatting="1" subtotalHiddenItems="1" itemPrintTitles="1" createdVersion="8" indent="0" showEmptyRow="1" compact="0" compactData="0" multipleFieldFilters="0" chartFormat="9">
  <location ref="H15:I19" firstHeaderRow="1" firstDataRow="1" firstDataCol="1"/>
  <pivotFields count="6">
    <pivotField axis="axisRow" compact="0" allDrilled="1" outline="0" subtotalTop="0" showAll="0" sortType="descending" defaultAttributeDrillState="1">
      <items count="4">
        <item s="1" x="0"/>
        <item s="1" x="1"/>
        <item s="1" x="2"/>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s>
  <rowFields count="1">
    <field x="0"/>
  </rowFields>
  <rowItems count="4">
    <i>
      <x v="1"/>
    </i>
    <i>
      <x v="2"/>
    </i>
    <i>
      <x/>
    </i>
    <i t="grand">
      <x/>
    </i>
  </rowItems>
  <colItems count="1">
    <i/>
  </colItems>
  <dataFields count="1">
    <dataField fld="1" subtotal="count" baseField="0" baseItem="0"/>
  </dataFields>
  <formats count="3">
    <format dxfId="6">
      <pivotArea field="0" type="button" dataOnly="0" labelOnly="1" outline="0" axis="axisRow" fieldPosition="0"/>
    </format>
    <format dxfId="5">
      <pivotArea field="0" type="button" dataOnly="0" labelOnly="1" outline="0" axis="axisRow" fieldPosition="0"/>
    </format>
    <format dxfId="4">
      <pivotArea dataOnly="0" labelOnly="1" outline="0" axis="axisValues" fieldPosition="0"/>
    </format>
  </formats>
  <chartFormats count="1">
    <chartFormat chart="6" format="9"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2"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Orders Dataset]"/>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9736FB-1FD9-4751-8273-4896C8DA3590}" name="Data Accuracy" cacheId="4" applyNumberFormats="0" applyBorderFormats="0" applyFontFormats="0" applyPatternFormats="0" applyAlignmentFormats="0" applyWidthHeightFormats="1" dataCaption="Values" tag="59da0089-2c4a-4076-876f-8e96d2a3d8fa" updatedVersion="8" minRefreshableVersion="3" useAutoFormatting="1" itemPrintTitles="1" createdVersion="8" indent="0" compact="0" compactData="0" multipleFieldFilters="0">
  <location ref="H10:H11" firstHeaderRow="1" firstDataRow="1" firstDataCol="0"/>
  <pivotFields count="4">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s>
  <rowItems count="1">
    <i/>
  </rowItems>
  <colItems count="1">
    <i/>
  </colItems>
  <dataFields count="1">
    <dataField fld="0" subtotal="count" baseField="0" baseItem="0"/>
  </dataFields>
  <formats count="3">
    <format dxfId="9">
      <pivotArea type="all" dataOnly="0" outline="0" fieldPosition="0"/>
    </format>
    <format dxfId="8">
      <pivotArea outline="0" collapsedLevelsAreSubtotals="1" fieldPosition="0"/>
    </format>
    <format dxfId="7">
      <pivotArea dataOnly="0" labelOnly="1" outline="0" axis="axisValues" fieldPosition="0"/>
    </format>
  </formats>
  <pivotHierarchies count="3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Orders Dataset]"/>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A96DB2-04AC-4819-87B2-09AD28EDE41E}" name="Product Revenue" cacheId="2" applyNumberFormats="0" applyBorderFormats="0" applyFontFormats="0" applyPatternFormats="0" applyAlignmentFormats="0" applyWidthHeightFormats="1" dataCaption="Values" tag="3210131b-0484-4a01-9df0-596caa7a3438" updatedVersion="8" minRefreshableVersion="3" useAutoFormatting="1" subtotalHiddenItems="1" itemPrintTitles="1" createdVersion="8" indent="0" compact="0" compactData="0" multipleFieldFilters="0" chartFormat="38">
  <location ref="B15:C20" firstHeaderRow="1" firstDataRow="1" firstDataCol="1"/>
  <pivotFields count="5">
    <pivotField axis="axisRow" compact="0" allDrilled="1" outline="0" subtotalTop="0"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s>
  <rowFields count="1">
    <field x="0"/>
  </rowFields>
  <rowItems count="5">
    <i>
      <x v="2"/>
    </i>
    <i>
      <x v="3"/>
    </i>
    <i>
      <x v="1"/>
    </i>
    <i>
      <x/>
    </i>
    <i t="grand">
      <x/>
    </i>
  </rowItems>
  <colItems count="1">
    <i/>
  </colItems>
  <dataFields count="1">
    <dataField fld="1" subtotal="count" baseField="0" baseItem="0"/>
  </dataFields>
  <formats count="2">
    <format dxfId="11">
      <pivotArea field="0" type="button" dataOnly="0" labelOnly="1" outline="0" axis="axisRow" fieldPosition="0"/>
    </format>
    <format dxfId="10">
      <pivotArea dataOnly="0" labelOnly="1" outline="0" axis="axisValues" fieldPosition="0"/>
    </format>
  </formats>
  <chartFormats count="1">
    <chartFormat chart="35" format="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2"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 Orders Dataset]"/>
      </x15:pivotTableUISettings>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65019AF-6393-4821-9650-433654284E4D}" autoFormatId="16" applyNumberFormats="0" applyBorderFormats="0" applyFontFormats="0" applyPatternFormats="0" applyAlignmentFormats="0" applyWidthHeightFormats="0">
  <queryTableRefresh nextId="2">
    <queryTableFields count="1">
      <queryTableField id="1" name="Country"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24EA465-64D7-4C45-BAE8-A00D83333901}" sourceName="[Cleaned Orders Dataset].[Country]">
  <pivotTables>
    <pivotTable tabId="2" name="Business Metrics"/>
    <pivotTable tabId="3" name="Refund Report"/>
    <pivotTable tabId="3" name="Revenue by Country"/>
    <pivotTable tabId="3" name="Product Revenue"/>
    <pivotTable tabId="2" name="Payment Delays"/>
    <pivotTable tabId="3" name="Data Accuracy"/>
  </pivotTables>
  <data>
    <olap pivotCacheId="17493985">
      <levels count="2">
        <level uniqueName="[Cleaned Orders Dataset].[Country].[(All)]" sourceCaption="(All)" count="0"/>
        <level uniqueName="[Cleaned Orders Dataset].[Country].[Country]" sourceCaption="Country" count="3">
          <ranges>
            <range startItem="0">
              <i n="[Cleaned Orders Dataset].[Country].&amp;[Canada]" c="Canada"/>
              <i n="[Cleaned Orders Dataset].[Country].&amp;[United Kingdom]" c="United Kingdom"/>
              <i n="[Cleaned Orders Dataset].[Country].&amp;[United States]" c="United States"/>
            </range>
          </ranges>
        </level>
      </levels>
      <selections count="1">
        <selection n="[Cleaned Orders Dataset].[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CC7A0E4-F52B-4CE0-AFDD-07FBBC2F05ED}" sourceName="[Cleaned Orders Dataset].[Product Name]">
  <pivotTables>
    <pivotTable tabId="2" name="Business Metrics"/>
    <pivotTable tabId="3" name="Refund Report"/>
    <pivotTable tabId="3" name="Revenue by Country"/>
    <pivotTable tabId="3" name="Product Revenue"/>
    <pivotTable tabId="2" name="Payment Delays"/>
    <pivotTable tabId="3" name="Data Accuracy"/>
  </pivotTables>
  <data>
    <olap pivotCacheId="17493985">
      <levels count="2">
        <level uniqueName="[Cleaned Orders Dataset].[Product Name].[(All)]" sourceCaption="(All)" count="0"/>
        <level uniqueName="[Cleaned Orders Dataset].[Product Name].[Product Name]" sourceCaption="Product Name" count="4">
          <ranges>
            <range startItem="0">
              <i n="[Cleaned Orders Dataset].[Product Name].&amp;[Keyboard]" c="Keyboard"/>
              <i n="[Cleaned Orders Dataset].[Product Name].&amp;[Laptop]" c="Laptop"/>
              <i n="[Cleaned Orders Dataset].[Product Name].&amp;[Monitor]" c="Monitor"/>
              <i n="[Cleaned Orders Dataset].[Product Name].&amp;[Mouse]" c="Mouse"/>
            </range>
          </ranges>
        </level>
      </levels>
      <selections count="1">
        <selection n="[Cleaned Orders Dataset].[Product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Status" xr10:uid="{76E65371-3ADF-4DCE-BD84-C9FC163002F1}" sourceName="[Cleaned Orders Dataset].[Actual Status]">
  <pivotTables>
    <pivotTable tabId="2" name="Business Metrics"/>
    <pivotTable tabId="3" name="Refund Report"/>
    <pivotTable tabId="3" name="Revenue by Country"/>
    <pivotTable tabId="3" name="Product Revenue"/>
    <pivotTable tabId="2" name="Payment Delays"/>
    <pivotTable tabId="3" name="Data Accuracy"/>
  </pivotTables>
  <data>
    <olap pivotCacheId="17493985">
      <levels count="2">
        <level uniqueName="[Cleaned Orders Dataset].[Actual Status].[(All)]" sourceCaption="(All)" count="0"/>
        <level uniqueName="[Cleaned Orders Dataset].[Actual Status].[Actual Status]" sourceCaption="Actual Status" count="4">
          <ranges>
            <range startItem="0">
              <i n="[Cleaned Orders Dataset].[Actual Status].&amp;[Completed]" c="Completed"/>
              <i n="[Cleaned Orders Dataset].[Actual Status].&amp;[Processing]" c="Processing"/>
              <i n="[Cleaned Orders Dataset].[Actual Status].&amp;[Refunded]" c="Refunded"/>
              <i n="[Cleaned Orders Dataset].[Actual Status].&amp;[Unpaid]" c="Unpaid"/>
            </range>
          </ranges>
        </level>
      </levels>
      <selections count="1">
        <selection n="[Cleaned Orders Dataset].[Actual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1BE8FF2-C5C1-4F3E-A326-90748E764399}" sourceName="[Cleaned Orders Dataset].[Month Name]">
  <pivotTables>
    <pivotTable tabId="2" name="Business Metrics"/>
    <pivotTable tabId="3" name="Refund Report"/>
    <pivotTable tabId="3" name="Revenue by Country"/>
    <pivotTable tabId="3" name="Product Revenue"/>
    <pivotTable tabId="2" name="Payment Delays"/>
  </pivotTables>
  <data>
    <olap pivotCacheId="17493985">
      <levels count="2">
        <level uniqueName="[Cleaned Orders Dataset].[Month Name].[(All)]" sourceCaption="(All)" count="0"/>
        <level uniqueName="[Cleaned Orders Dataset].[Month Name].[Month Name]" sourceCaption="Month Name" count="10">
          <ranges>
            <range startItem="0">
              <i n="[Cleaned Orders Dataset].[Month Name].&amp;[January]" c="January"/>
              <i n="[Cleaned Orders Dataset].[Month Name].&amp;[February]" c="February"/>
              <i n="[Cleaned Orders Dataset].[Month Name].&amp;[March]" c="March"/>
              <i n="[Cleaned Orders Dataset].[Month Name].&amp;[April]" c="April"/>
              <i n="[Cleaned Orders Dataset].[Month Name].&amp;[May]" c="May"/>
              <i n="[Cleaned Orders Dataset].[Month Name].&amp;[June]" c="June"/>
              <i n="[Cleaned Orders Dataset].[Month Name].&amp;[July]" c="July"/>
              <i n="[Cleaned Orders Dataset].[Month Name].&amp;[August]" c="August"/>
              <i n="[Cleaned Orders Dataset].[Month Name].&amp;[September]" c="September"/>
              <i n="[Cleaned Orders Dataset].[Month Name].&amp;[October]" c="October"/>
            </range>
          </ranges>
        </level>
      </levels>
      <selections count="1">
        <selection n="[Cleaned Orders Dataset].[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97A7B41-CD41-4E71-B430-B17693DE19C0}" cache="Slicer_Country" caption="Country" level="1" rowHeight="457200"/>
  <slicer name="Product Name" xr10:uid="{1B8DD187-D895-4CDA-8A8B-F658F588ACA8}" cache="Slicer_Product_Name" caption="Product Name" columnCount="2" level="1" rowHeight="731520"/>
  <slicer name="Actual Status" xr10:uid="{59A7CD81-92BD-443C-9DE6-820FE85B048E}" cache="Slicer_Actual_Status" caption="Product Status" columnCount="2" level="1" rowHeight="548640"/>
  <slicer name="Month Name" xr10:uid="{855D7592-B14E-4F0E-B9BB-48C3D4448F01}" cache="Slicer_Month_Name" caption="Month " columnCount="2" level="1" rowHeight="6400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AB013C8-27E9-4309-A12D-A1C346F6F380}" cache="Slicer_Country" caption="Country" level="1" style="SlicerStyleLight1" rowHeight="365760"/>
  <slicer name="Product Name 1" xr10:uid="{9AFDC424-6C55-4B79-8F2A-65E699440866}" cache="Slicer_Product_Name" caption="Product Name" columnCount="2" level="1" style="SlicerStyleLight1" rowHeight="365760"/>
  <slicer name="Actual Status 1" xr10:uid="{BB085303-B845-40DC-A0B5-7024610723A9}" cache="Slicer_Actual_Status" caption="Actual Status" columnCount="2" level="1" style="SlicerStyleLight1" rowHeight="365760"/>
  <slicer name="Month Name 1" xr10:uid="{0282EF0E-96EE-4A51-88F4-816048F3401A}" cache="Slicer_Month_Name" caption="Month Name" columnCount="2" level="1" style="SlicerStyleLight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776AC3-597A-4A03-A701-BC3A2F38D02E}" name="Country" displayName="Country" ref="E2:E14" tableType="queryTable" totalsRowShown="0">
  <autoFilter ref="E2:E14" xr:uid="{5B776AC3-597A-4A03-A701-BC3A2F38D02E}"/>
  <sortState xmlns:xlrd2="http://schemas.microsoft.com/office/spreadsheetml/2017/richdata2" ref="E3:E14">
    <sortCondition ref="E2:E14"/>
  </sortState>
  <tableColumns count="1">
    <tableColumn id="1" xr3:uid="{F18434D0-1C29-4820-B02D-A96C945B98E0}" uniqueName="1" name="Country" queryTableField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9C7F0F-60CE-4493-B23E-F10A2B2632BE}" name="CountryMapping" displayName="CountryMapping" ref="B2:C14" totalsRowShown="0" headerRowDxfId="1">
  <autoFilter ref="B2:C14" xr:uid="{499C7F0F-60CE-4493-B23E-F10A2B2632BE}"/>
  <tableColumns count="2">
    <tableColumn id="1" xr3:uid="{F5B1ACD9-6866-48C3-81B5-70FD9BAE09D1}" name="Raw Country" dataDxfId="0"/>
    <tableColumn id="2" xr3:uid="{6A32EFD4-4E54-4EC1-AA45-CC865E4F8F65}" name="Standardized 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8C327-2704-4256-8BBC-37D2F0C800A2}">
  <dimension ref="A1:AF223"/>
  <sheetViews>
    <sheetView showGridLines="0" showRowColHeaders="0" topLeftCell="D2" zoomScale="41" zoomScaleNormal="41" workbookViewId="0">
      <selection activeCell="M24" sqref="M24"/>
    </sheetView>
  </sheetViews>
  <sheetFormatPr defaultRowHeight="15" x14ac:dyDescent="0.25"/>
  <cols>
    <col min="1" max="1" width="10.7109375" bestFit="1" customWidth="1"/>
    <col min="2" max="2" width="42.85546875" customWidth="1"/>
    <col min="3" max="3" width="29.140625" customWidth="1"/>
    <col min="4" max="4" width="49.28515625" bestFit="1" customWidth="1"/>
    <col min="5" max="5" width="46.85546875" bestFit="1" customWidth="1"/>
    <col min="6" max="6" width="51.42578125" bestFit="1" customWidth="1"/>
    <col min="7" max="7" width="30.140625" bestFit="1" customWidth="1"/>
    <col min="8" max="8" width="35.28515625" bestFit="1" customWidth="1"/>
    <col min="9" max="9" width="5.140625" customWidth="1"/>
    <col min="10" max="10" width="54" customWidth="1"/>
    <col min="11" max="11" width="54.5703125" customWidth="1"/>
    <col min="13" max="13" width="9.140625" customWidth="1"/>
  </cols>
  <sheetData>
    <row r="1" spans="1:32" ht="15.75" thickBot="1" x14ac:dyDescent="0.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row>
    <row r="2" spans="1:32" ht="115.5" thickBot="1" x14ac:dyDescent="1.7">
      <c r="A2" s="12"/>
      <c r="B2" s="12"/>
      <c r="C2" s="12"/>
      <c r="D2" s="8"/>
      <c r="E2" s="11" t="s">
        <v>32</v>
      </c>
      <c r="F2" s="9"/>
      <c r="G2" s="9"/>
      <c r="H2" s="9"/>
      <c r="I2" s="9"/>
      <c r="J2" s="9"/>
      <c r="K2" s="10"/>
      <c r="L2" s="12"/>
      <c r="M2" s="12"/>
      <c r="N2" s="12"/>
      <c r="O2" s="12"/>
      <c r="P2" s="12"/>
      <c r="Q2" s="12"/>
      <c r="R2" s="12"/>
      <c r="S2" s="12"/>
      <c r="T2" s="12"/>
      <c r="U2" s="12"/>
      <c r="V2" s="12"/>
      <c r="W2" s="12"/>
      <c r="X2" s="12"/>
      <c r="Y2" s="12"/>
      <c r="Z2" s="12"/>
      <c r="AA2" s="12"/>
      <c r="AB2" s="12"/>
      <c r="AC2" s="12"/>
      <c r="AD2" s="12"/>
      <c r="AE2" s="12"/>
      <c r="AF2" s="12"/>
    </row>
    <row r="3" spans="1:32" ht="15.75" thickBot="1"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2" ht="47.25" thickBot="1" x14ac:dyDescent="0.75">
      <c r="A4" s="12"/>
      <c r="B4" s="12"/>
      <c r="C4" s="12"/>
      <c r="D4" s="15" t="s">
        <v>17</v>
      </c>
      <c r="E4" s="16" t="s">
        <v>18</v>
      </c>
      <c r="F4" s="16" t="s">
        <v>19</v>
      </c>
      <c r="G4" s="16" t="s">
        <v>20</v>
      </c>
      <c r="H4" s="16" t="s">
        <v>21</v>
      </c>
      <c r="I4" s="14"/>
      <c r="J4" s="13" t="s">
        <v>16</v>
      </c>
      <c r="K4" s="12"/>
      <c r="L4" s="12"/>
      <c r="M4" s="12"/>
      <c r="N4" s="12"/>
      <c r="O4" s="12"/>
      <c r="P4" s="12"/>
      <c r="Q4" s="12"/>
      <c r="R4" s="12"/>
      <c r="S4" s="12"/>
      <c r="T4" s="12"/>
      <c r="U4" s="12"/>
      <c r="V4" s="12"/>
      <c r="W4" s="12"/>
      <c r="X4" s="12"/>
      <c r="Y4" s="12"/>
      <c r="Z4" s="12"/>
      <c r="AA4" s="12"/>
      <c r="AB4" s="12"/>
      <c r="AC4" s="12"/>
      <c r="AD4" s="12"/>
      <c r="AE4" s="12"/>
      <c r="AF4" s="12"/>
    </row>
    <row r="5" spans="1:32" ht="62.25" thickBot="1" x14ac:dyDescent="0.95">
      <c r="A5" s="12"/>
      <c r="B5" s="12"/>
      <c r="C5" s="12"/>
      <c r="D5" s="17">
        <v>217609.36000000028</v>
      </c>
      <c r="E5" s="18">
        <v>106754.8499999999</v>
      </c>
      <c r="F5" s="18">
        <v>5086.2700000000004</v>
      </c>
      <c r="G5" s="21">
        <v>1200</v>
      </c>
      <c r="H5" s="19">
        <v>2.3373397173724497E-2</v>
      </c>
      <c r="I5" s="14"/>
      <c r="J5" s="20">
        <v>101.19769673704414</v>
      </c>
      <c r="K5" s="12"/>
      <c r="L5" s="12"/>
      <c r="M5" s="12"/>
      <c r="N5" s="12"/>
      <c r="O5" s="12"/>
      <c r="P5" s="12"/>
      <c r="Q5" s="12"/>
      <c r="R5" s="12"/>
      <c r="S5" s="12"/>
      <c r="T5" s="12"/>
      <c r="U5" s="12"/>
      <c r="V5" s="12"/>
      <c r="W5" s="12"/>
      <c r="X5" s="12"/>
      <c r="Y5" s="12"/>
      <c r="Z5" s="12"/>
      <c r="AA5" s="12"/>
      <c r="AB5" s="12"/>
      <c r="AC5" s="12"/>
      <c r="AD5" s="12"/>
      <c r="AE5" s="12"/>
      <c r="AF5" s="12"/>
    </row>
    <row r="6" spans="1:32"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row>
    <row r="7" spans="1:32"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row>
    <row r="8" spans="1:32" x14ac:dyDescent="0.2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row>
    <row r="9" spans="1:32" x14ac:dyDescent="0.2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row>
    <row r="10" spans="1:32"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row>
    <row r="11" spans="1:32"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row>
    <row r="13" spans="1:32"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row>
    <row r="14" spans="1:32"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row>
    <row r="15" spans="1:32"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spans="1:32"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row>
    <row r="17" spans="1:32"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row>
    <row r="18" spans="1:32"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row>
    <row r="19" spans="1:32"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row>
    <row r="20" spans="1:32"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row>
    <row r="21" spans="1:32"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row>
    <row r="22" spans="1:32"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row>
    <row r="23" spans="1:32"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row>
    <row r="24" spans="1:32"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row>
    <row r="25" spans="1:32"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row>
    <row r="26" spans="1:32"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row>
    <row r="27" spans="1:32"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row>
    <row r="28" spans="1:32"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row>
    <row r="29" spans="1:32"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row>
    <row r="30" spans="1:32"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row>
    <row r="31" spans="1:32"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row>
    <row r="32" spans="1:32"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row>
    <row r="33" spans="1:32"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row>
    <row r="34" spans="1:32"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row>
    <row r="35" spans="1:32"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row>
    <row r="36" spans="1:32"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row>
    <row r="37" spans="1:32"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row>
    <row r="38" spans="1:32"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row>
    <row r="39" spans="1:32"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row>
    <row r="40" spans="1:32"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row>
    <row r="41" spans="1:32"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row>
    <row r="42" spans="1:32"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row>
    <row r="43" spans="1:32"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row>
    <row r="44" spans="1:32"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row>
    <row r="45" spans="1:32"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row>
    <row r="46" spans="1:32"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row>
    <row r="47" spans="1:32"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row>
    <row r="48" spans="1:32"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row>
    <row r="49" spans="1:32"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row>
    <row r="50" spans="1:32"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row>
    <row r="51" spans="1:32"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row>
    <row r="52" spans="1:32"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row>
    <row r="53" spans="1:32"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row>
    <row r="54" spans="1:32"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row>
    <row r="55" spans="1:32"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spans="1:32"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row>
    <row r="57" spans="1:32"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row>
    <row r="58" spans="1:32"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row>
    <row r="59" spans="1:32"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row>
    <row r="60" spans="1:32"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row>
    <row r="61" spans="1:32"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row>
    <row r="62" spans="1:32"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row>
    <row r="63" spans="1:32"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row>
    <row r="64" spans="1:32"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row>
    <row r="65" spans="1:32"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row>
    <row r="66" spans="1:32"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row>
    <row r="67" spans="1:32"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row>
    <row r="68" spans="1:32"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row>
    <row r="69" spans="1:32"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row>
    <row r="70" spans="1:32"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row>
    <row r="71" spans="1:32"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row>
    <row r="72" spans="1:32"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row>
    <row r="73" spans="1:32"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row>
    <row r="74" spans="1:32"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row>
    <row r="75" spans="1:32"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row>
    <row r="76" spans="1:32"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row>
    <row r="77" spans="1:32"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row>
    <row r="78" spans="1:32"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row>
    <row r="79" spans="1:32"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row>
    <row r="80" spans="1:32"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row>
    <row r="81" spans="1:32"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row>
    <row r="82" spans="1:32"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row>
    <row r="83" spans="1:32"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row>
    <row r="84" spans="1:32"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row>
    <row r="85" spans="1:32"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row>
    <row r="86" spans="1:32"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row>
    <row r="87" spans="1:32"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row>
    <row r="88" spans="1:32"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row>
    <row r="89" spans="1:32"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row>
    <row r="90" spans="1:32"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row>
    <row r="91" spans="1:32"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row>
    <row r="92" spans="1:32"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row>
    <row r="93" spans="1:32"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row>
    <row r="94" spans="1:32"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row>
    <row r="95" spans="1:32"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row>
    <row r="96" spans="1:32"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spans="1:32"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spans="1:32"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spans="1:32"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row>
    <row r="100" spans="1:32"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spans="1:32"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spans="1:32"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spans="1:32"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spans="1:32"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spans="1:32"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spans="1:32"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spans="1:32"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spans="1:32"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spans="1:32"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spans="1:32"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spans="1:32"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spans="1:32"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spans="1:32"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spans="1:32"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spans="1:32"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spans="1:32"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spans="1:32"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spans="1:32"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spans="1:32"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spans="1:32"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spans="1:32"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spans="1:32"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spans="1:32"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spans="1:32"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spans="1:32"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spans="1:32"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spans="1:32"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spans="1:32"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spans="1:32"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spans="1:32"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spans="1:32"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spans="1:32"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spans="1:32"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spans="1:32"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spans="1:32"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spans="1:32"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spans="1:32"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spans="1:32"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spans="1:32"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spans="1:32"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spans="1:32"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spans="1:32"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spans="1:32"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spans="1:32"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spans="1:32"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spans="1:32"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spans="1:32"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spans="1:32"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spans="1:32"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spans="1:32"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spans="1:32"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spans="1:32"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2"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2"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2"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2"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2"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2"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2"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x14ac:dyDescent="0.25">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x14ac:dyDescent="0.25">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x14ac:dyDescent="0.25">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x14ac:dyDescent="0.25">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x14ac:dyDescent="0.25">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x14ac:dyDescent="0.25">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x14ac:dyDescent="0.25">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x14ac:dyDescent="0.25">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x14ac:dyDescent="0.25">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3:31" x14ac:dyDescent="0.25">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3:31" x14ac:dyDescent="0.25">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3:31" x14ac:dyDescent="0.25">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3:31" x14ac:dyDescent="0.25">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3:31" x14ac:dyDescent="0.25">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3:31" x14ac:dyDescent="0.25">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3:31" x14ac:dyDescent="0.25">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3:31" x14ac:dyDescent="0.25">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3:31" x14ac:dyDescent="0.25">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3:31" x14ac:dyDescent="0.25">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3:31" x14ac:dyDescent="0.25">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3:31" x14ac:dyDescent="0.25">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3:31" x14ac:dyDescent="0.25">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3:31" x14ac:dyDescent="0.25">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3:31" x14ac:dyDescent="0.25">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3:31" x14ac:dyDescent="0.25">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3:31" x14ac:dyDescent="0.25">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3:31" x14ac:dyDescent="0.25">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3:31" x14ac:dyDescent="0.25">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3:31" x14ac:dyDescent="0.25">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3:31" x14ac:dyDescent="0.25">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3:31" x14ac:dyDescent="0.25">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3:31" x14ac:dyDescent="0.25">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3:31" x14ac:dyDescent="0.25">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3:31" x14ac:dyDescent="0.25">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3:31" x14ac:dyDescent="0.25">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3:31" x14ac:dyDescent="0.25">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3:31" x14ac:dyDescent="0.25">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3:31" x14ac:dyDescent="0.25">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3:31" x14ac:dyDescent="0.25">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3:31" x14ac:dyDescent="0.25">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0C7CE-D913-4BD1-A2FB-8661AA838519}">
  <dimension ref="B10:I29"/>
  <sheetViews>
    <sheetView topLeftCell="B5" workbookViewId="0">
      <selection activeCell="H15" sqref="H15:I19"/>
    </sheetView>
  </sheetViews>
  <sheetFormatPr defaultRowHeight="15" x14ac:dyDescent="0.25"/>
  <cols>
    <col min="2" max="2" width="16" bestFit="1" customWidth="1"/>
    <col min="3" max="3" width="17.7109375" bestFit="1" customWidth="1"/>
    <col min="5" max="5" width="15.42578125" bestFit="1" customWidth="1"/>
    <col min="6" max="6" width="17.7109375" bestFit="1" customWidth="1"/>
    <col min="8" max="9" width="20.140625" bestFit="1" customWidth="1"/>
    <col min="10" max="13" width="15.28515625" bestFit="1" customWidth="1"/>
  </cols>
  <sheetData>
    <row r="10" spans="2:9" ht="18.75" x14ac:dyDescent="0.3">
      <c r="H10" s="6" t="s">
        <v>22</v>
      </c>
    </row>
    <row r="11" spans="2:9" ht="18.75" x14ac:dyDescent="0.3">
      <c r="H11" s="7">
        <v>0.53500000000000003</v>
      </c>
    </row>
    <row r="15" spans="2:9" x14ac:dyDescent="0.25">
      <c r="B15" s="5" t="s">
        <v>23</v>
      </c>
      <c r="C15" s="5" t="s">
        <v>18</v>
      </c>
      <c r="E15" s="5" t="s">
        <v>0</v>
      </c>
      <c r="F15" s="5" t="s">
        <v>18</v>
      </c>
      <c r="H15" s="5" t="s">
        <v>28</v>
      </c>
      <c r="I15" s="5" t="s">
        <v>19</v>
      </c>
    </row>
    <row r="16" spans="2:9" x14ac:dyDescent="0.25">
      <c r="B16" t="s">
        <v>26</v>
      </c>
      <c r="C16" s="3">
        <v>27529.459999999992</v>
      </c>
      <c r="E16" t="s">
        <v>3</v>
      </c>
      <c r="F16" s="3">
        <v>46348.700000000019</v>
      </c>
      <c r="H16" t="s">
        <v>30</v>
      </c>
      <c r="I16" s="3">
        <v>2304.7999999999997</v>
      </c>
    </row>
    <row r="17" spans="2:9" x14ac:dyDescent="0.25">
      <c r="B17" t="s">
        <v>27</v>
      </c>
      <c r="C17" s="3">
        <v>26676.06</v>
      </c>
      <c r="E17" t="s">
        <v>7</v>
      </c>
      <c r="F17" s="3">
        <v>35881.799999999996</v>
      </c>
      <c r="H17" t="s">
        <v>31</v>
      </c>
      <c r="I17" s="3">
        <v>1572.77</v>
      </c>
    </row>
    <row r="18" spans="2:9" x14ac:dyDescent="0.25">
      <c r="B18" t="s">
        <v>25</v>
      </c>
      <c r="C18" s="3">
        <v>26313.910000000022</v>
      </c>
      <c r="E18" t="s">
        <v>5</v>
      </c>
      <c r="F18" s="3">
        <v>24524.350000000006</v>
      </c>
      <c r="H18" t="s">
        <v>29</v>
      </c>
      <c r="I18" s="3">
        <v>1208.7</v>
      </c>
    </row>
    <row r="19" spans="2:9" x14ac:dyDescent="0.25">
      <c r="B19" t="s">
        <v>24</v>
      </c>
      <c r="C19" s="3">
        <v>26235.419999999995</v>
      </c>
      <c r="E19" t="s">
        <v>15</v>
      </c>
      <c r="F19" s="3">
        <v>106754.8499999999</v>
      </c>
      <c r="H19" t="s">
        <v>15</v>
      </c>
      <c r="I19" s="3">
        <v>5086.2700000000004</v>
      </c>
    </row>
    <row r="20" spans="2:9" x14ac:dyDescent="0.25">
      <c r="B20" t="s">
        <v>15</v>
      </c>
      <c r="C20" s="3">
        <v>106754.8499999999</v>
      </c>
    </row>
    <row r="29" spans="2:9" x14ac:dyDescent="0.25">
      <c r="B29" s="4"/>
      <c r="C29" s="4"/>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6"/>
  <sheetViews>
    <sheetView tabSelected="1" workbookViewId="0">
      <selection activeCell="E20" sqref="E20"/>
    </sheetView>
  </sheetViews>
  <sheetFormatPr defaultRowHeight="15" x14ac:dyDescent="0.25"/>
  <cols>
    <col min="2" max="2" width="18" customWidth="1"/>
    <col min="3" max="3" width="22.140625" customWidth="1"/>
    <col min="5" max="5" width="15.42578125" bestFit="1" customWidth="1"/>
  </cols>
  <sheetData>
    <row r="1" spans="2:5" ht="12.75" customHeight="1" x14ac:dyDescent="0.25"/>
    <row r="2" spans="2:5" x14ac:dyDescent="0.25">
      <c r="B2" s="1" t="s">
        <v>13</v>
      </c>
      <c r="C2" s="1" t="s">
        <v>14</v>
      </c>
      <c r="E2" t="s">
        <v>0</v>
      </c>
    </row>
    <row r="3" spans="2:5" x14ac:dyDescent="0.25">
      <c r="B3" s="2" t="s">
        <v>6</v>
      </c>
      <c r="C3" t="s">
        <v>5</v>
      </c>
      <c r="E3" t="s">
        <v>6</v>
      </c>
    </row>
    <row r="4" spans="2:5" x14ac:dyDescent="0.25">
      <c r="B4" s="2" t="s">
        <v>5</v>
      </c>
      <c r="C4" t="s">
        <v>5</v>
      </c>
      <c r="E4" t="s">
        <v>5</v>
      </c>
    </row>
    <row r="5" spans="2:5" x14ac:dyDescent="0.25">
      <c r="B5" s="2" t="s">
        <v>9</v>
      </c>
      <c r="C5" t="s">
        <v>5</v>
      </c>
      <c r="E5" t="s">
        <v>9</v>
      </c>
    </row>
    <row r="6" spans="2:5" x14ac:dyDescent="0.25">
      <c r="B6" s="2" t="s">
        <v>11</v>
      </c>
      <c r="C6" t="s">
        <v>7</v>
      </c>
      <c r="E6" t="s">
        <v>11</v>
      </c>
    </row>
    <row r="7" spans="2:5" x14ac:dyDescent="0.25">
      <c r="B7" s="2" t="s">
        <v>1</v>
      </c>
      <c r="C7" t="s">
        <v>7</v>
      </c>
      <c r="E7" t="s">
        <v>2</v>
      </c>
    </row>
    <row r="8" spans="2:5" x14ac:dyDescent="0.25">
      <c r="B8" s="2" t="s">
        <v>12</v>
      </c>
      <c r="C8" t="s">
        <v>7</v>
      </c>
      <c r="E8" t="s">
        <v>1</v>
      </c>
    </row>
    <row r="9" spans="2:5" x14ac:dyDescent="0.25">
      <c r="B9" s="2" t="s">
        <v>7</v>
      </c>
      <c r="C9" t="s">
        <v>7</v>
      </c>
      <c r="E9" t="s">
        <v>12</v>
      </c>
    </row>
    <row r="10" spans="2:5" x14ac:dyDescent="0.25">
      <c r="B10" s="2" t="s">
        <v>2</v>
      </c>
      <c r="C10" t="s">
        <v>3</v>
      </c>
      <c r="E10" t="s">
        <v>7</v>
      </c>
    </row>
    <row r="11" spans="2:5" x14ac:dyDescent="0.25">
      <c r="B11" s="2" t="s">
        <v>3</v>
      </c>
      <c r="C11" t="s">
        <v>3</v>
      </c>
      <c r="E11" t="s">
        <v>3</v>
      </c>
    </row>
    <row r="12" spans="2:5" x14ac:dyDescent="0.25">
      <c r="B12" s="2" t="s">
        <v>4</v>
      </c>
      <c r="C12" t="s">
        <v>3</v>
      </c>
      <c r="E12" t="s">
        <v>4</v>
      </c>
    </row>
    <row r="13" spans="2:5" x14ac:dyDescent="0.25">
      <c r="B13" s="2" t="s">
        <v>8</v>
      </c>
      <c r="C13" t="s">
        <v>3</v>
      </c>
      <c r="E13" t="s">
        <v>8</v>
      </c>
    </row>
    <row r="14" spans="2:5" x14ac:dyDescent="0.25">
      <c r="B14" s="2" t="s">
        <v>10</v>
      </c>
      <c r="C14" t="s">
        <v>3</v>
      </c>
      <c r="E14" t="s">
        <v>10</v>
      </c>
    </row>
    <row r="16" spans="2:5" x14ac:dyDescent="0.25">
      <c r="B16" s="2"/>
      <c r="C16" s="2"/>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29EA-3599-4A55-9D2E-385AAE77A754}">
  <dimension ref="B2:B4"/>
  <sheetViews>
    <sheetView workbookViewId="0">
      <selection activeCell="B4" sqref="B4"/>
    </sheetView>
  </sheetViews>
  <sheetFormatPr defaultRowHeight="15" x14ac:dyDescent="0.25"/>
  <sheetData>
    <row r="2" spans="2:2" x14ac:dyDescent="0.25">
      <c r="B2" t="str" cm="1">
        <f t="array" aca="1" ref="B2" ca="1">_xlfn.TEXTBEFORE(CELL("filename",A1),"[")</f>
        <v>D:\Data Analysis Classes\Excel class\Project 2\</v>
      </c>
    </row>
    <row r="4" spans="2:2" x14ac:dyDescent="0.25">
      <c r="B4" t="str" cm="1">
        <f t="array" aca="1" ref="B4" ca="1">_xlfn.TEXTBEFORE(CELL("filename",A1),"[")&amp;"Data\"</f>
        <v>D:\Data Analysis Classes\Excel class\Project 2\Data\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3AC55B5D-2B17-4474-86D8-BC8BB8825B5B}">
  <ds:schemaRefs/>
</ds:datastoreItem>
</file>

<file path=customXml/itemProps2.xml><?xml version="1.0" encoding="utf-8"?>
<ds:datastoreItem xmlns:ds="http://schemas.openxmlformats.org/officeDocument/2006/customXml" ds:itemID="{9A57B470-74D2-4D14-9390-D7277541EB9B}">
  <ds:schemaRefs/>
</ds:datastoreItem>
</file>

<file path=customXml/itemProps3.xml><?xml version="1.0" encoding="utf-8"?>
<ds:datastoreItem xmlns:ds="http://schemas.openxmlformats.org/officeDocument/2006/customXml" ds:itemID="{5F67C524-5A57-4D01-B973-5570BB20A251}">
  <ds:schemaRefs/>
</ds:datastoreItem>
</file>

<file path=customXml/itemProps4.xml><?xml version="1.0" encoding="utf-8"?>
<ds:datastoreItem xmlns:ds="http://schemas.openxmlformats.org/officeDocument/2006/customXml" ds:itemID="{9C2F341E-2E2E-4D15-9640-09620C4D1F0A}">
  <ds:schemaRefs/>
</ds:datastoreItem>
</file>

<file path=customXml/itemProps5.xml><?xml version="1.0" encoding="utf-8"?>
<ds:datastoreItem xmlns:ds="http://schemas.openxmlformats.org/officeDocument/2006/customXml" ds:itemID="{E35F67A4-0CEE-40D5-B3C5-8A06F9A3A32B}">
  <ds:schemaRefs/>
</ds:datastoreItem>
</file>

<file path=customXml/itemProps6.xml><?xml version="1.0" encoding="utf-8"?>
<ds:datastoreItem xmlns:ds="http://schemas.openxmlformats.org/officeDocument/2006/customXml" ds:itemID="{A96A5A0E-3C3A-4B36-A94D-0870FEC805A6}">
  <ds:schemaRefs/>
</ds:datastoreItem>
</file>

<file path=customXml/itemProps7.xml><?xml version="1.0" encoding="utf-8"?>
<ds:datastoreItem xmlns:ds="http://schemas.openxmlformats.org/officeDocument/2006/customXml" ds:itemID="{C5B471F5-7499-44CB-8703-A9D5E8AAE353}">
  <ds:schemaRefs/>
</ds:datastoreItem>
</file>

<file path=customXml/itemProps8.xml><?xml version="1.0" encoding="utf-8"?>
<ds:datastoreItem xmlns:ds="http://schemas.openxmlformats.org/officeDocument/2006/customXml" ds:itemID="{A6E95E42-C2A6-4AAC-99C5-1612D31F4FA7}">
  <ds:schemaRefs/>
</ds:datastoreItem>
</file>

<file path=customXml/itemProps9.xml><?xml version="1.0" encoding="utf-8"?>
<ds:datastoreItem xmlns:ds="http://schemas.openxmlformats.org/officeDocument/2006/customXml" ds:itemID="{1503AC1F-2506-4BC7-8278-160C1C5D3516}">
  <ds:schemaRefs/>
</ds:datastoreItem>
</file>

<file path=customXml/itemProps10.xml><?xml version="1.0" encoding="utf-8"?>
<ds:datastoreItem xmlns:ds="http://schemas.openxmlformats.org/officeDocument/2006/customXml" ds:itemID="{BCA66194-D0C1-4F5D-8883-C3D7611AA75B}">
  <ds:schemaRefs/>
</ds:datastoreItem>
</file>

<file path=customXml/itemProps11.xml><?xml version="1.0" encoding="utf-8"?>
<ds:datastoreItem xmlns:ds="http://schemas.openxmlformats.org/officeDocument/2006/customXml" ds:itemID="{202677D3-A8F2-4332-B735-8083D7EC081B}">
  <ds:schemaRefs/>
</ds:datastoreItem>
</file>

<file path=customXml/itemProps12.xml><?xml version="1.0" encoding="utf-8"?>
<ds:datastoreItem xmlns:ds="http://schemas.openxmlformats.org/officeDocument/2006/customXml" ds:itemID="{98816CC8-4694-4766-8086-7EEE2B7D4413}">
  <ds:schemaRefs/>
</ds:datastoreItem>
</file>

<file path=customXml/itemProps13.xml><?xml version="1.0" encoding="utf-8"?>
<ds:datastoreItem xmlns:ds="http://schemas.openxmlformats.org/officeDocument/2006/customXml" ds:itemID="{E67EA349-F8CD-4CFA-9E61-AADE5FC31454}">
  <ds:schemaRefs/>
</ds:datastoreItem>
</file>

<file path=customXml/itemProps14.xml><?xml version="1.0" encoding="utf-8"?>
<ds:datastoreItem xmlns:ds="http://schemas.openxmlformats.org/officeDocument/2006/customXml" ds:itemID="{52809CF3-8033-4747-932D-9CC3FFFA42AF}">
  <ds:schemaRefs/>
</ds:datastoreItem>
</file>

<file path=customXml/itemProps15.xml><?xml version="1.0" encoding="utf-8"?>
<ds:datastoreItem xmlns:ds="http://schemas.openxmlformats.org/officeDocument/2006/customXml" ds:itemID="{1A642DBA-0FED-4E84-930F-0C1894A3C1C7}">
  <ds:schemaRefs/>
</ds:datastoreItem>
</file>

<file path=customXml/itemProps16.xml><?xml version="1.0" encoding="utf-8"?>
<ds:datastoreItem xmlns:ds="http://schemas.openxmlformats.org/officeDocument/2006/customXml" ds:itemID="{32DBE403-6C2A-4C20-AC57-118F187A1264}">
  <ds:schemaRefs/>
</ds:datastoreItem>
</file>

<file path=customXml/itemProps17.xml><?xml version="1.0" encoding="utf-8"?>
<ds:datastoreItem xmlns:ds="http://schemas.openxmlformats.org/officeDocument/2006/customXml" ds:itemID="{0381F165-39E8-4903-8A4F-315E2D960149}">
  <ds:schemaRefs/>
</ds:datastoreItem>
</file>

<file path=customXml/itemProps18.xml><?xml version="1.0" encoding="utf-8"?>
<ds:datastoreItem xmlns:ds="http://schemas.openxmlformats.org/officeDocument/2006/customXml" ds:itemID="{DF6C77A6-E626-47D0-97C8-E264EF8D22ED}">
  <ds:schemaRefs/>
</ds:datastoreItem>
</file>

<file path=customXml/itemProps19.xml><?xml version="1.0" encoding="utf-8"?>
<ds:datastoreItem xmlns:ds="http://schemas.openxmlformats.org/officeDocument/2006/customXml" ds:itemID="{66139B9B-B601-48CC-B6FA-4B8A338A3C0A}">
  <ds:schemaRefs/>
</ds:datastoreItem>
</file>

<file path=customXml/itemProps20.xml><?xml version="1.0" encoding="utf-8"?>
<ds:datastoreItem xmlns:ds="http://schemas.openxmlformats.org/officeDocument/2006/customXml" ds:itemID="{A827C939-616A-4001-A49B-6051A0728D9B}">
  <ds:schemaRefs>
    <ds:schemaRef ds:uri="http://schemas.microsoft.com/DataMashup"/>
  </ds:schemaRefs>
</ds:datastoreItem>
</file>

<file path=customXml/itemProps21.xml><?xml version="1.0" encoding="utf-8"?>
<ds:datastoreItem xmlns:ds="http://schemas.openxmlformats.org/officeDocument/2006/customXml" ds:itemID="{F57E5385-B7D3-46C7-BEB1-222C6D0566DC}">
  <ds:schemaRefs/>
</ds:datastoreItem>
</file>

<file path=customXml/itemProps22.xml><?xml version="1.0" encoding="utf-8"?>
<ds:datastoreItem xmlns:ds="http://schemas.openxmlformats.org/officeDocument/2006/customXml" ds:itemID="{991E5468-4E7C-4ECF-81AB-3F289CCE585C}">
  <ds:schemaRefs/>
</ds:datastoreItem>
</file>

<file path=customXml/itemProps23.xml><?xml version="1.0" encoding="utf-8"?>
<ds:datastoreItem xmlns:ds="http://schemas.openxmlformats.org/officeDocument/2006/customXml" ds:itemID="{ECD48603-1A71-4D32-9F63-E652B4EEE48E}">
  <ds:schemaRefs/>
</ds:datastoreItem>
</file>

<file path=customXml/itemProps24.xml><?xml version="1.0" encoding="utf-8"?>
<ds:datastoreItem xmlns:ds="http://schemas.openxmlformats.org/officeDocument/2006/customXml" ds:itemID="{2D9A822F-96F5-4247-BAAA-8CF70B1E801D}">
  <ds:schemaRefs/>
</ds:datastoreItem>
</file>

<file path=customXml/itemProps25.xml><?xml version="1.0" encoding="utf-8"?>
<ds:datastoreItem xmlns:ds="http://schemas.openxmlformats.org/officeDocument/2006/customXml" ds:itemID="{B1937E4A-559E-4D69-8EEE-BFE318B7B4AD}">
  <ds:schemaRefs/>
</ds:datastoreItem>
</file>

<file path=customXml/itemProps26.xml><?xml version="1.0" encoding="utf-8"?>
<ds:datastoreItem xmlns:ds="http://schemas.openxmlformats.org/officeDocument/2006/customXml" ds:itemID="{151AA15B-9DB4-4D77-91AE-112ADE6D8D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Data</vt:lpstr>
      <vt:lpstr>Country Mapping</vt:lpstr>
      <vt:lpstr>Dynamic Folder Path</vt:lpstr>
      <vt:lpstr>fPath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Daniel Ramos</cp:lastModifiedBy>
  <dcterms:created xsi:type="dcterms:W3CDTF">2015-06-05T18:17:20Z</dcterms:created>
  <dcterms:modified xsi:type="dcterms:W3CDTF">2026-03-10T18:09:57Z</dcterms:modified>
</cp:coreProperties>
</file>